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Programmes" sheetId="2" state="visible" r:id="rId2"/>
    <sheet xmlns:r="http://schemas.openxmlformats.org/officeDocument/2006/relationships" name="Run weeks" sheetId="3" state="visible" r:id="rId3"/>
    <sheet xmlns:r="http://schemas.openxmlformats.org/officeDocument/2006/relationships" name="Run sessions" sheetId="4" state="visible" r:id="rId4"/>
    <sheet xmlns:r="http://schemas.openxmlformats.org/officeDocument/2006/relationships" name="Pace zones" sheetId="5" state="visible" r:id="rId5"/>
    <sheet xmlns:r="http://schemas.openxmlformats.org/officeDocument/2006/relationships" name="Strength splits" sheetId="6" state="visible" r:id="rId6"/>
    <sheet xmlns:r="http://schemas.openxmlformats.org/officeDocument/2006/relationships" name="Split days" sheetId="7" state="visible" r:id="rId7"/>
    <sheet xmlns:r="http://schemas.openxmlformats.org/officeDocument/2006/relationships" name="Strength by goal" sheetId="8" state="visible" r:id="rId8"/>
    <sheet xmlns:r="http://schemas.openxmlformats.org/officeDocument/2006/relationships" name="Rules" sheetId="9" state="visible" r:id="rId9"/>
    <sheet xmlns:r="http://schemas.openxmlformats.org/officeDocument/2006/relationships" name="List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sz val="11"/>
    </font>
    <font>
      <name val="Arial"/>
      <charset val="1"/>
      <family val="0"/>
      <b val="1"/>
      <sz val="16"/>
    </font>
    <font>
      <name val="Arial"/>
      <charset val="1"/>
      <family val="0"/>
      <sz val="10"/>
    </font>
    <font>
      <name val="Arial"/>
      <charset val="1"/>
      <family val="0"/>
      <b val="1"/>
      <sz val="11"/>
    </font>
    <font>
      <name val="Arial"/>
      <charset val="1"/>
      <family val="0"/>
      <b val="1"/>
      <sz val="10"/>
    </font>
    <font>
      <name val="Arial"/>
      <charset val="1"/>
      <family val="0"/>
      <b val="1"/>
      <color rgb="FFFFFFFF"/>
      <sz val="10"/>
    </font>
    <font>
      <name val="Arial"/>
      <charset val="1"/>
      <family val="0"/>
      <i val="1"/>
      <color rgb="FF555555"/>
      <sz val="9"/>
    </font>
    <font>
      <name val="Arial"/>
      <family val="2"/>
      <sz val="10"/>
    </font>
    <font>
      <name val="Arial"/>
      <charset val="1"/>
      <family val="0"/>
      <color theme="1"/>
      <sz val="11"/>
    </font>
    <font>
      <name val="Arial"/>
      <charset val="1"/>
      <family val="0"/>
      <color rgb="FF0000FF"/>
      <sz val="10"/>
    </font>
  </fonts>
  <fills count="5">
    <fill>
      <patternFill/>
    </fill>
    <fill>
      <patternFill patternType="gray125"/>
    </fill>
    <fill>
      <patternFill patternType="solid">
        <fgColor rgb="FFFFF2CC"/>
        <bgColor rgb="FFE8EEEC"/>
      </patternFill>
    </fill>
    <fill>
      <patternFill patternType="solid">
        <fgColor rgb="FFE8EEEC"/>
        <bgColor rgb="FFFFF2CC"/>
      </patternFill>
    </fill>
    <fill>
      <patternFill patternType="solid">
        <fgColor rgb="FF1F2A28"/>
        <bgColor rgb="FF333300"/>
      </patternFill>
    </fill>
  </fills>
  <borders count="2">
    <border>
      <left/>
      <right/>
      <top/>
      <bottom/>
      <diagonal/>
    </border>
    <border>
      <left style="thin">
        <color rgb="FFD0D7D5"/>
      </left>
      <right style="thin">
        <color rgb="FFD0D7D5"/>
      </right>
      <top style="thin">
        <color rgb="FFD0D7D5"/>
      </top>
      <bottom style="thin">
        <color rgb="FFD0D7D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4" fillId="2" borderId="0" applyAlignment="1" pivotButton="0" quotePrefix="0" xfId="0">
      <alignment horizontal="general" vertical="bottom"/>
    </xf>
    <xf numFmtId="0" fontId="6" fillId="0" borderId="0" applyAlignment="1" pivotButton="0" quotePrefix="0" xfId="0">
      <alignment horizontal="general" vertical="bottom"/>
    </xf>
    <xf numFmtId="0" fontId="4" fillId="3" borderId="0" applyAlignment="1" pivotButton="0" quotePrefix="0" xfId="0">
      <alignment horizontal="general" vertical="bottom"/>
    </xf>
    <xf numFmtId="0" fontId="4" fillId="4"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top" wrapText="1"/>
    </xf>
    <xf numFmtId="0" fontId="9" fillId="4" borderId="1" applyAlignment="1" pivotButton="0" quotePrefix="0" xfId="0">
      <alignment horizontal="general" vertical="center" wrapText="1"/>
    </xf>
    <xf numFmtId="0" fontId="6" fillId="2" borderId="1" applyAlignment="1" pivotButton="0" quotePrefix="0" xfId="0">
      <alignment horizontal="general" vertical="top" wrapText="1"/>
    </xf>
    <xf numFmtId="0" fontId="6" fillId="3" borderId="1" applyAlignment="1" pivotButton="0" quotePrefix="0" xfId="0">
      <alignment horizontal="general" vertical="bottom"/>
    </xf>
    <xf numFmtId="0" fontId="10" fillId="0" borderId="0" applyAlignment="1" pivotButton="0" quotePrefix="0" xfId="0">
      <alignment horizontal="general" vertical="bottom"/>
    </xf>
    <xf numFmtId="9" fontId="6" fillId="2" borderId="1" applyAlignment="1" pivotButton="0" quotePrefix="0" xfId="0">
      <alignment horizontal="general" vertical="top" wrapText="1"/>
    </xf>
    <xf numFmtId="0" fontId="12" fillId="0" borderId="0" applyAlignment="1" pivotButton="0" quotePrefix="0" xfId="0">
      <alignment horizontal="general" vertical="bottom"/>
    </xf>
    <xf numFmtId="0" fontId="10" fillId="2" borderId="1" applyAlignment="1" pivotButton="0" quotePrefix="0" xfId="0">
      <alignment horizontal="general" vertical="top" wrapText="1"/>
    </xf>
    <xf numFmtId="0" fontId="13" fillId="2" borderId="1" applyAlignment="1" pivotButton="0" quotePrefix="0" xfId="0">
      <alignment horizontal="general" vertical="bottom"/>
    </xf>
    <xf numFmtId="9" fontId="13" fillId="2"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4" fillId="2" borderId="0" applyAlignment="1" pivotButton="0" quotePrefix="0" xfId="0">
      <alignment horizontal="general" vertical="bottom"/>
    </xf>
    <xf numFmtId="0" fontId="6" fillId="0" borderId="0" applyAlignment="1" pivotButton="0" quotePrefix="0" xfId="0">
      <alignment horizontal="general" vertical="bottom"/>
    </xf>
    <xf numFmtId="0" fontId="4" fillId="3" borderId="0" applyAlignment="1" pivotButton="0" quotePrefix="0" xfId="0">
      <alignment horizontal="general" vertical="bottom"/>
    </xf>
    <xf numFmtId="0" fontId="4" fillId="4" borderId="0" applyAlignment="1" pivotButton="0" quotePrefix="0" xfId="0">
      <alignment horizontal="general" vertical="bottom"/>
    </xf>
    <xf numFmtId="0" fontId="8" fillId="0" borderId="0" applyAlignment="1" pivotButton="0" quotePrefix="0" xfId="0">
      <alignment horizontal="general" vertical="bottom"/>
    </xf>
    <xf numFmtId="0" fontId="9" fillId="4" borderId="1" applyAlignment="1" pivotButton="0" quotePrefix="0" xfId="0">
      <alignment horizontal="general" vertical="center" wrapText="1"/>
    </xf>
    <xf numFmtId="0" fontId="6" fillId="2" borderId="1" applyAlignment="1" pivotButton="0" quotePrefix="0" xfId="0">
      <alignment horizontal="general" vertical="top" wrapText="1"/>
    </xf>
    <xf numFmtId="0" fontId="6" fillId="3" borderId="1" applyAlignment="1" pivotButton="0" quotePrefix="0" xfId="0">
      <alignment horizontal="general" vertical="bottom"/>
    </xf>
    <xf numFmtId="0" fontId="10" fillId="0" borderId="0" applyAlignment="1" pivotButton="0" quotePrefix="0" xfId="0">
      <alignment horizontal="general" vertical="bottom"/>
    </xf>
    <xf numFmtId="9" fontId="6" fillId="2" borderId="1" applyAlignment="1" pivotButton="0" quotePrefix="0" xfId="0">
      <alignment horizontal="general" vertical="top" wrapText="1"/>
    </xf>
    <xf numFmtId="0" fontId="12" fillId="0" borderId="0" applyAlignment="1" pivotButton="0" quotePrefix="0" xfId="0">
      <alignment horizontal="general" vertical="bottom"/>
    </xf>
    <xf numFmtId="0" fontId="10" fillId="2" borderId="1" applyAlignment="1" pivotButton="0" quotePrefix="0" xfId="0">
      <alignment horizontal="general" vertical="top" wrapText="1"/>
    </xf>
    <xf numFmtId="0" fontId="13" fillId="2" borderId="1" applyAlignment="1" pivotButton="0" quotePrefix="0" xfId="0">
      <alignment horizontal="general" vertical="bottom"/>
    </xf>
    <xf numFmtId="9" fontId="13"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EEEC"/>
      <rgbColor rgb="FF660066"/>
      <rgbColor rgb="FFFF8080"/>
      <rgbColor rgb="FF0066CC"/>
      <rgbColor rgb="FFD0D7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28"/>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Unknown Author</author>
  </authors>
  <commentList>
    <comment ref="K1" authorId="0" shapeId="0">
      <text>
        <t>The weekly volume this race needs at each level. Run weeks' % are a % of this. Runners below it build up to it; runners above it ease down to it.</t>
      </text>
    </comment>
    <comment ref="Q1" authorId="0" shapeId="0">
      <text>
        <t>Which runners see this goal in onboarding, by their running experience.</t>
      </text>
    </comment>
  </commentList>
</comments>
</file>

<file path=xl/comments/comment2.xml><?xml version="1.0" encoding="utf-8"?>
<comments xmlns="http://schemas.openxmlformats.org/spreadsheetml/2006/main">
  <authors>
    <author>Unknown Author</author>
  </authors>
  <commentList>
    <comment ref="D1" authorId="0" shapeId="0">
      <text>
        <t>100% = the programme's race-ready volume for the runner's level (Programmes tab), reached gradually from where they are now. 1.2 = 120%.</t>
      </text>
    </comment>
    <comment ref="E1" authorId="0" shapeId="0">
      <text>
        <t>'auto' (Rules share of the week), a % of the week (e.g. 30%), or km (e.g. 14km).</t>
      </text>
    </comment>
    <comment ref="I1" authorId="0" shapeId="0">
      <text>
        <t>An intermediate runner already at race-ready volume (Programmes tab).</t>
      </text>
    </comment>
  </commentList>
</comments>
</file>

<file path=xl/comments/comment3.xml><?xml version="1.0" encoding="utf-8"?>
<comments xmlns="http://schemas.openxmlformats.org/spreadsheetml/2006/main">
  <authors>
    <author>Unknown Author</author>
  </authors>
  <commentList>
    <comment ref="C1" authorId="0" shapeId="0">
      <text>
        <t>1, 2, 3… The app keeps this order when it places runs on the user's days, with hard sessions spread out.</t>
      </text>
    </comment>
    <comment ref="E1" authorId="0" shapeId="0">
      <text>
        <t>'auto' (sized from the week's volume), a % of the week (25%), or km (8km).</t>
      </text>
    </comment>
    <comment ref="F1" authorId="0" shapeId="0">
      <text>
        <t>See 'Writing a workout' on Start here. Blank for plain easy/long runs.</t>
      </text>
    </comment>
  </commentList>
</comments>
</file>

<file path=xl/comments/comment4.xml><?xml version="1.0" encoding="utf-8"?>
<comments xmlns="http://schemas.openxmlformats.org/spreadsheetml/2006/main">
  <authors>
    <author>Unknown Author</author>
  </authors>
  <commentList>
    <comment ref="D1" authorId="0" shapeId="0">
      <text>
        <t>'Any squat' etc. lets the app pick for the user's equipment. A named exercise is used as written (or the closest swap if they can't do it).</t>
      </text>
    </comment>
    <comment ref="F1" authorId="0" shapeId="0">
      <text>
        <t>Leave Sets/Reps/Rest blank to use 'Strength by goal' for the Role.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filterMode="0">
    <outlinePr summaryBelow="1" summaryRight="1"/>
    <pageSetUpPr fitToPage="0"/>
  </sheetPr>
  <dimension ref="A1:C46"/>
  <sheetViews>
    <sheetView showFormulas="0" showGridLines="1" showRowColHeaders="1" showZeros="1" rightToLeft="0" tabSelected="1" showOutlineSymbols="1" defaultGridColor="1" view="normal" topLeftCell="A1" colorId="64" zoomScale="110" zoomScaleNormal="110" zoomScalePageLayoutView="100" workbookViewId="0">
      <selection pane="topLeft" activeCell="A1" activeCellId="0" sqref="A1"/>
    </sheetView>
  </sheetViews>
  <sheetFormatPr baseColWidth="8" defaultColWidth="8.6796875" defaultRowHeight="15" zeroHeight="0" outlineLevelRow="0"/>
  <cols>
    <col width="3" customWidth="1" style="20" min="1" max="1"/>
    <col width="26" customWidth="1" style="20" min="2" max="2"/>
    <col width="100" customWidth="1" style="20" min="3" max="3"/>
  </cols>
  <sheetData>
    <row r="1" ht="19.7" customHeight="1" s="21">
      <c r="A1" s="22" t="n"/>
      <c r="B1" s="23" t="inlineStr">
        <is>
          <t>Kinetix programmes</t>
        </is>
      </c>
      <c r="C1" s="22" t="n"/>
    </row>
    <row r="2" ht="15" customHeight="1" s="21">
      <c r="A2" s="22" t="n"/>
      <c r="B2" s="22" t="n"/>
      <c r="C2" s="22" t="n"/>
    </row>
    <row r="3" ht="57.75" customHeight="1" s="21">
      <c r="A3" s="22" t="n"/>
      <c r="B3" s="24" t="inlineStr">
        <is>
          <t>You write the programmes; the app scales them to each person. Write paces as zones (E, M, T, I, R) and running volume as a percentage of the runner's starting weekly volume. The app turns those into real paces (from their race time) and kilometres (from their 'current weekly volume' onboarding answer), places the sessions on their chosen days, and keeps balancing running and lifting as they train.</t>
        </is>
      </c>
    </row>
    <row r="4" ht="57.75" customHeight="1" s="21">
      <c r="A4" s="22" t="n"/>
      <c r="B4" s="24" t="inlineStr">
        <is>
          <t>When you've finished (or changed) something, send the file back and Claude converts it into the app's programme files, checks it, and shows sample plans for a few typical runners before anything goes to TestFlight.</t>
        </is>
      </c>
    </row>
    <row r="5" ht="15" customHeight="1" s="21">
      <c r="A5" s="22" t="n"/>
      <c r="B5" s="22" t="n"/>
      <c r="C5" s="22" t="n"/>
    </row>
    <row r="6" ht="15" customHeight="1" s="21">
      <c r="A6" s="22" t="n"/>
      <c r="B6" s="25" t="inlineStr">
        <is>
          <t>Colours</t>
        </is>
      </c>
      <c r="C6" s="22" t="n"/>
    </row>
    <row r="7" ht="15" customHeight="1" s="21">
      <c r="A7" s="22" t="n"/>
      <c r="B7" s="26" t="n"/>
      <c r="C7" s="27" t="inlineStr">
        <is>
          <t>Yellow cells: fill these in (drop-downs where there's a fixed list).</t>
        </is>
      </c>
    </row>
    <row r="8" ht="15" customHeight="1" s="21">
      <c r="A8" s="22" t="n"/>
      <c r="B8" s="28" t="n"/>
      <c r="C8" s="27" t="inlineStr">
        <is>
          <t>Grey cells: worked out for you (checks and examples). Don't type here.</t>
        </is>
      </c>
    </row>
    <row r="9" ht="15" customHeight="1" s="21">
      <c r="A9" s="22" t="n"/>
      <c r="B9" s="29" t="n"/>
      <c r="C9" s="27" t="inlineStr">
        <is>
          <t>Dark headers: column names. Hover a header for a note.</t>
        </is>
      </c>
    </row>
    <row r="10" ht="15" customHeight="1" s="21">
      <c r="A10" s="22" t="n"/>
      <c r="B10" s="22" t="n"/>
      <c r="C10" s="22" t="n"/>
    </row>
    <row r="11" ht="15" customHeight="1" s="21">
      <c r="A11" s="22" t="n"/>
      <c r="B11" s="25" t="inlineStr">
        <is>
          <t>Tabs, in the order to fill them</t>
        </is>
      </c>
      <c r="C11" s="22" t="n"/>
    </row>
    <row r="12" ht="15" customHeight="1" s="21">
      <c r="A12" s="22" t="n"/>
      <c r="B12" s="30" t="inlineStr">
        <is>
          <t>Programmes</t>
        </is>
      </c>
      <c r="C12" s="24" t="inlineStr">
        <is>
          <t>One row per onboarding goal: length, runs and lifts per week, long-run cap, what happens at the end.</t>
        </is>
      </c>
    </row>
    <row r="13" ht="15" customHeight="1" s="21">
      <c r="A13" s="22" t="n"/>
      <c r="B13" s="30" t="inlineStr">
        <is>
          <t>Run weeks</t>
        </is>
      </c>
      <c r="C13" s="24" t="inlineStr">
        <is>
          <t>Every week of every programme: phase, volume (% of starting volume), long run, strength emphasis.</t>
        </is>
      </c>
    </row>
    <row r="14" ht="15" customHeight="1" s="21">
      <c r="A14" s="22" t="n"/>
      <c r="B14" s="30" t="inlineStr">
        <is>
          <t>Run sessions</t>
        </is>
      </c>
      <c r="C14" s="24" t="inlineStr">
        <is>
          <t>Every run in every week: type, key or optional, distance (or 'auto') and the workout.</t>
        </is>
      </c>
    </row>
    <row r="15" ht="15" customHeight="1" s="21">
      <c r="A15" s="22" t="n"/>
      <c r="B15" s="30" t="inlineStr">
        <is>
          <t>Pace zones</t>
        </is>
      </c>
      <c r="C15" s="24" t="inlineStr">
        <is>
          <t>What E / M / T / I / R mean. Change the descriptions or add an effort guide; paces come from race times.</t>
        </is>
      </c>
    </row>
    <row r="16" ht="15" customHeight="1" s="21">
      <c r="A16" s="22" t="n"/>
      <c r="B16" s="30" t="inlineStr">
        <is>
          <t>Strength splits</t>
        </is>
      </c>
      <c r="C16" s="24" t="inlineStr">
        <is>
          <t>The splits offered in onboarding (full body, upper/lower, PPL…): days per week and who they suit.</t>
        </is>
      </c>
    </row>
    <row r="17" ht="15" customHeight="1" s="21">
      <c r="A17" s="22" t="n"/>
      <c r="B17" s="30" t="inlineStr">
        <is>
          <t>Split days</t>
        </is>
      </c>
      <c r="C17" s="24" t="inlineStr">
        <is>
          <t>Each day of each split: exercises (a specific one or 'any squat' etc.), role, and optional sets/reps.</t>
        </is>
      </c>
    </row>
    <row r="18" ht="15" customHeight="1" s="21">
      <c r="A18" s="22" t="n"/>
      <c r="B18" s="30" t="inlineStr">
        <is>
          <t>Strength by goal</t>
        </is>
      </c>
      <c r="C18" s="24" t="inlineStr">
        <is>
          <t>Sets, reps and rest for main and accessory lifts, per goal (used unless a split day overrides them).</t>
        </is>
      </c>
    </row>
    <row r="19" ht="15" customHeight="1" s="21">
      <c r="A19" s="22" t="n"/>
      <c r="B19" s="30" t="inlineStr">
        <is>
          <t>Rules</t>
        </is>
      </c>
      <c r="C19" s="24" t="inlineStr">
        <is>
          <t>Safety limits and defaults: max weekly increase, starting volumes, long-run share, deload size.</t>
        </is>
      </c>
    </row>
    <row r="20" ht="15" customHeight="1" s="21">
      <c r="A20" s="22" t="n"/>
      <c r="B20" s="30" t="inlineStr">
        <is>
          <t>Lists</t>
        </is>
      </c>
      <c r="C20" s="24" t="inlineStr">
        <is>
          <t>The options behind the drop-downs. Add exercises here only if they're also added to the app.</t>
        </is>
      </c>
    </row>
    <row r="21" ht="15" customHeight="1" s="21">
      <c r="A21" s="22" t="n"/>
      <c r="B21" s="22" t="n"/>
      <c r="C21" s="22" t="n"/>
    </row>
    <row r="22" ht="15" customHeight="1" s="21">
      <c r="A22" s="22" t="n"/>
      <c r="B22" s="25" t="inlineStr">
        <is>
          <t>Writing a workout</t>
        </is>
      </c>
      <c r="C22" s="22" t="n"/>
    </row>
    <row r="23" ht="23.85" customHeight="1" s="21">
      <c r="A23" s="22" t="n"/>
      <c r="B23" s="30" t="inlineStr">
        <is>
          <t>Zones</t>
        </is>
      </c>
      <c r="C23" s="24" t="inlineStr">
        <is>
          <t>@ E, STEADY, M, HM, T, 10K, 5K, I, R  (see Pace zones). Add 'effort' (e.g. @ T effort) to show the pace as a guide only, with no off-pace warnings.</t>
        </is>
      </c>
    </row>
    <row r="24" ht="15" customHeight="1" s="21">
      <c r="A24" s="22" t="n"/>
      <c r="B24" s="30" t="inlineStr">
        <is>
          <t>Reps</t>
        </is>
      </c>
      <c r="C24" s="24" t="inlineStr">
        <is>
          <t>6 x 800 m @ I, 90 s jog between     5 x 1 km @ I, 2 min jog between     2 x 8 min @ T, 2 min jog between</t>
        </is>
      </c>
    </row>
    <row r="25" ht="15" customHeight="1" s="21">
      <c r="A25" s="22" t="n"/>
      <c r="B25" s="30" t="inlineStr">
        <is>
          <t>Mixed reps</t>
        </is>
      </c>
      <c r="C25" s="24" t="inlineStr">
        <is>
          <t>8 x (1 min @ I / 1 min E)     4 x (3 min @ 10K / 2 min @ HM / 1 min @ 5K / 2 min E)</t>
        </is>
      </c>
    </row>
    <row r="26" ht="15" customHeight="1" s="21">
      <c r="A26" s="22" t="n"/>
      <c r="B26" s="30" t="inlineStr">
        <is>
          <t>Continuous</t>
        </is>
      </c>
      <c r="C26" s="24" t="inlineStr">
        <is>
          <t>15 min continuous @ T     25 min continuous @ T</t>
        </is>
      </c>
    </row>
    <row r="27" ht="15" customHeight="1" s="21">
      <c r="A27" s="22" t="n"/>
      <c r="B27" s="30" t="inlineStr">
        <is>
          <t>Hills</t>
        </is>
      </c>
      <c r="C27" s="24" t="inlineStr">
        <is>
          <t>8 x 60 s uphill @ hard effort, jog back down   (timed reps, no pace target)</t>
        </is>
      </c>
    </row>
    <row r="28" ht="15" customHeight="1" s="21">
      <c r="A28" s="22" t="n"/>
      <c r="B28" s="30" t="inlineStr">
        <is>
          <t>Progressions</t>
        </is>
      </c>
      <c r="C28" s="24" t="inlineStr">
        <is>
          <t>4 km E → 3 km STEADY → 1 km HM   (the km set the shape; the app sizes the run)</t>
        </is>
      </c>
    </row>
    <row r="29" ht="15" customHeight="1" s="21">
      <c r="A29" s="22" t="n"/>
      <c r="B29" s="30" t="inlineStr">
        <is>
          <t>Finishes</t>
        </is>
      </c>
      <c r="C29" s="24" t="inlineStr">
        <is>
          <t>13 km E, final 3 km @ STEADY   (= last 3/13 of the run at STEADY)</t>
        </is>
      </c>
    </row>
    <row r="30" ht="15" customHeight="1" s="21">
      <c r="A30" s="22" t="n"/>
      <c r="B30" s="30" t="inlineStr">
        <is>
          <t>Strides</t>
        </is>
      </c>
      <c r="C30" s="24" t="inlineStr">
        <is>
          <t>4 km E + 4 x 20 s strides</t>
        </is>
      </c>
    </row>
    <row r="31" ht="15" customHeight="1" s="21">
      <c r="A31" s="22" t="n"/>
      <c r="B31" s="30" t="inlineStr">
        <is>
          <t>Plain runs</t>
        </is>
      </c>
      <c r="C31" s="24" t="inlineStr">
        <is>
          <t>E continuous run, Very relaxed recovery run, Long run conversational throughout: any wording without a zone is easy.</t>
        </is>
      </c>
    </row>
    <row r="32" ht="15" customHeight="1" s="21">
      <c r="A32" s="22" t="n"/>
      <c r="B32" s="30" t="inlineStr">
        <is>
          <t>Race</t>
        </is>
      </c>
      <c r="C32" s="24" t="inlineStr">
        <is>
          <t>Session type Race: the race distance, at goal pace.</t>
        </is>
      </c>
    </row>
    <row r="33" ht="15" customHeight="1" s="21">
      <c r="A33" s="22" t="n"/>
      <c r="B33" s="30" t="inlineStr">
        <is>
          <t>Warm-ups</t>
        </is>
      </c>
      <c r="C33" s="24" t="inlineStr">
        <is>
          <t>Rep and tempo sessions get an easy warm-up and cool-down added automatically (at least 1.5 km each).</t>
        </is>
      </c>
    </row>
    <row r="34" ht="15" customHeight="1" s="21">
      <c r="A34" s="22" t="n"/>
      <c r="B34" s="30" t="inlineStr">
        <is>
          <t>Distances</t>
        </is>
      </c>
      <c r="C34" s="24" t="inlineStr">
        <is>
          <t>Write km for a mid-level runner (~30 km/week). They set the shape; Distance 'auto' sizes each run from the runner's volume.</t>
        </is>
      </c>
    </row>
    <row r="35" ht="15" customHeight="1" s="21">
      <c r="A35" s="22" t="n"/>
      <c r="B35" s="22" t="n"/>
      <c r="C35" s="22" t="n"/>
    </row>
    <row r="36" ht="15" customHeight="1" s="21">
      <c r="A36" s="22" t="n"/>
      <c r="B36" s="25" t="inlineStr">
        <is>
          <t>How volume is scaled</t>
        </is>
      </c>
      <c r="C36" s="22" t="n"/>
    </row>
    <row r="37" ht="30" customHeight="1" s="21">
      <c r="A37" s="22" t="n"/>
      <c r="B37" s="27" t="inlineStr">
        <is>
          <t>•</t>
        </is>
      </c>
      <c r="C37" s="24" t="inlineStr">
        <is>
          <t>100% in Run weeks = the programme's race-ready volume for the runner's level (Programmes tab).</t>
        </is>
      </c>
    </row>
    <row r="38" ht="30" customHeight="1" s="21">
      <c r="A38" s="22" t="n"/>
      <c r="B38" s="27" t="inlineStr">
        <is>
          <t>•</t>
        </is>
      </c>
      <c r="C38" s="24" t="inlineStr">
        <is>
          <t>Where they start: their answer to 'How far do you run in a typical week?' (pre-filled from their last 4 weeks of runs when the app has them), kept between the minimum and maximum in Rules. Below race-ready, they build up to it (within the max weekly increase); above it, they ease down to it (Rules: ease down per week). Your weekly % shape, deloads and taper are kept either way.</t>
        </is>
      </c>
    </row>
    <row r="39" ht="30" customHeight="1" s="21">
      <c r="A39" s="22" t="n"/>
      <c r="B39" s="27" t="inlineStr">
        <is>
          <t>•</t>
        </is>
      </c>
      <c r="C39" s="24" t="inlineStr">
        <is>
          <t>Raced in the last two weeks? Onboarding asks, and if they want it they get an easy first week before week 1. Nothing else adds that week.</t>
        </is>
      </c>
    </row>
    <row r="40" ht="30" customHeight="1" s="21">
      <c r="A40" s="22" t="n"/>
      <c r="B40" s="27" t="inlineStr">
        <is>
          <t>•</t>
        </is>
      </c>
      <c r="C40" s="24" t="inlineStr">
        <is>
          <t>'auto' easy runs share whatever volume is left in the week after the long run and the workouts, evenly.</t>
        </is>
      </c>
    </row>
    <row r="41" ht="30" customHeight="1" s="21">
      <c r="A41" s="22" t="n"/>
      <c r="B41" s="27" t="inlineStr">
        <is>
          <t>•</t>
        </is>
      </c>
      <c r="C41" s="24" t="inlineStr">
        <is>
          <t>Safety: a week is never more than Rules → 'Max weekly increase' above what the runner actually did the week before, and no single run exceeds Rules → 'Longest run' for their level (or the programme's long-run cap).</t>
        </is>
      </c>
    </row>
    <row r="42" ht="30" customHeight="1" s="21">
      <c r="A42" s="22" t="n"/>
      <c r="B42" s="27" t="inlineStr">
        <is>
          <t>•</t>
        </is>
      </c>
      <c r="C42" s="24" t="inlineStr">
        <is>
          <t>Fewer run days than the programme has sessions? The app drops easy and recovery runs first. More days? It adds easy runs.</t>
        </is>
      </c>
    </row>
    <row r="43" ht="30" customHeight="1" s="21">
      <c r="A43" s="22" t="n"/>
      <c r="B43" s="27" t="inlineStr">
        <is>
          <t>•</t>
        </is>
      </c>
      <c r="C43" s="24" t="inlineStr">
        <is>
          <t>Rep sessions keep their rep lengths; lower-volume runners get fewer reps so hard running stays a sensible share of their week (Rules: fast, threshold and steady reps max).</t>
        </is>
      </c>
    </row>
    <row r="44" ht="30" customHeight="1" s="21">
      <c r="A44" s="22" t="n"/>
      <c r="B44" s="27" t="inlineStr">
        <is>
          <t>•</t>
        </is>
      </c>
      <c r="C44" s="24" t="inlineStr">
        <is>
          <t>Rep and tempo sessions get an easy warm-up and cool-down (Rules: warm-up). Other runs share what's left: easy 1, recovery 0.75, shakeout 0.6, progression 1.15, within the Rules' run-length limits.</t>
        </is>
      </c>
    </row>
    <row r="45" ht="30" customHeight="1" s="21">
      <c r="A45" s="22" t="n"/>
      <c r="B45" s="27" t="inlineStr">
        <is>
          <t>•</t>
        </is>
      </c>
      <c r="C45" s="24" t="inlineStr">
        <is>
          <t>A race date lines the programme up so its last week is race week (early weeks skipped if it's sooner, base weeks repeated first if it's further away). The race is its full distance and isn't counted in the week's %.</t>
        </is>
      </c>
    </row>
    <row r="46" ht="30" customHeight="1" s="21">
      <c r="A46" s="22" t="n"/>
      <c r="B46" s="27" t="inlineStr">
        <is>
          <t>•</t>
        </is>
      </c>
      <c r="C46" s="24" t="inlineStr">
        <is>
          <t>The worked example columns (grey) show what each week would be for a runner at the volume in Rules → 'Example runner'.</t>
        </is>
      </c>
    </row>
  </sheetData>
  <mergeCells count="2">
    <mergeCell ref="B3:C3"/>
    <mergeCell ref="B4:C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T12"/>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22" customWidth="1" style="20" min="2" max="2"/>
    <col width="10" customWidth="1" style="20" min="3" max="3"/>
    <col width="18" customWidth="1" style="20" min="4" max="4"/>
    <col width="10" customWidth="1" style="20" min="5" max="10"/>
    <col width="12" customWidth="1" style="20" min="11" max="13"/>
    <col width="9" customWidth="1" style="20" min="14" max="14"/>
    <col width="20" customWidth="1" style="20" min="15" max="15"/>
    <col width="60" customWidth="1" style="20" min="16" max="16"/>
    <col width="22" customWidth="1" style="20" min="17" max="17"/>
    <col width="10" customWidth="1" style="20" min="18" max="19"/>
    <col width="20" customWidth="1" style="21" min="20" max="20"/>
  </cols>
  <sheetData>
    <row r="1" ht="31.5" customHeight="1" s="21">
      <c r="A1" s="31" t="inlineStr">
        <is>
          <t>Programme</t>
        </is>
      </c>
      <c r="B1" s="31" t="inlineStr">
        <is>
          <t>Name shown in app</t>
        </is>
      </c>
      <c r="C1" s="31" t="inlineStr">
        <is>
          <t>Length (weeks)</t>
        </is>
      </c>
      <c r="D1" s="31" t="inlineStr">
        <is>
          <t>After the last week</t>
        </is>
      </c>
      <c r="E1" s="31" t="inlineStr">
        <is>
          <t>Runs per week (min)</t>
        </is>
      </c>
      <c r="F1" s="31" t="inlineStr">
        <is>
          <t>Runs per week (max)</t>
        </is>
      </c>
      <c r="G1" s="31" t="inlineStr">
        <is>
          <t>Lifts per week (min)</t>
        </is>
      </c>
      <c r="H1" s="31" t="inlineStr">
        <is>
          <t>Lifts per week (max)</t>
        </is>
      </c>
      <c r="I1" s="31" t="inlineStr">
        <is>
          <t>Long-run cap (km)</t>
        </is>
      </c>
      <c r="J1" s="31" t="inlineStr">
        <is>
          <t>Weekly volume cap (km)</t>
        </is>
      </c>
      <c r="K1" s="31" t="inlineStr">
        <is>
          <t>Race-ready volume: beginner (km/week)</t>
        </is>
      </c>
      <c r="L1" s="31" t="inlineStr">
        <is>
          <t>Race-ready volume: intermediate (km/week)</t>
        </is>
      </c>
      <c r="M1" s="31" t="inlineStr">
        <is>
          <t>Race-ready volume: advanced (km/week)</t>
        </is>
      </c>
      <c r="N1" s="31" t="inlineStr">
        <is>
          <t>Taper weeks</t>
        </is>
      </c>
      <c r="O1" s="31" t="inlineStr">
        <is>
          <t>Default split</t>
        </is>
      </c>
      <c r="P1" s="31" t="inlineStr">
        <is>
          <t>Description shown in onboarding</t>
        </is>
      </c>
      <c r="Q1" s="31" t="inlineStr">
        <is>
          <t>Available to</t>
        </is>
      </c>
      <c r="R1" s="31" t="inlineStr">
        <is>
          <t>Weeks written</t>
        </is>
      </c>
      <c r="S1" s="31" t="inlineStr">
        <is>
          <t>Sessions written</t>
        </is>
      </c>
      <c r="T1" s="31" t="inlineStr">
        <is>
          <t>Also suggested (other splits marked Suggested)</t>
        </is>
      </c>
    </row>
    <row r="2" ht="15" customHeight="1" s="21">
      <c r="A2" s="30" t="inlineStr">
        <is>
          <t>First 5K</t>
        </is>
      </c>
      <c r="B2" s="32" t="inlineStr">
        <is>
          <t>First 5K</t>
        </is>
      </c>
      <c r="C2" s="32" t="n">
        <v>8</v>
      </c>
      <c r="D2" s="32" t="inlineStr">
        <is>
          <t>Repeat</t>
        </is>
      </c>
      <c r="E2" s="32" t="n">
        <v>3</v>
      </c>
      <c r="F2" s="32" t="n">
        <v>3</v>
      </c>
      <c r="G2" s="32" t="n">
        <v>1</v>
      </c>
      <c r="H2" s="32" t="n">
        <v>2</v>
      </c>
      <c r="I2" s="32" t="n">
        <v>8</v>
      </c>
      <c r="J2" s="32" t="n">
        <v>25</v>
      </c>
      <c r="K2" s="32" t="n">
        <v>15</v>
      </c>
      <c r="L2" s="32" t="n"/>
      <c r="M2" s="32" t="n"/>
      <c r="N2" s="32" t="n">
        <v>1</v>
      </c>
      <c r="O2" s="32" t="inlineStr">
        <is>
          <t>Full body ×2</t>
        </is>
      </c>
      <c r="P2" s="32" t="inlineStr">
        <is>
          <t>Build up to running 5K comfortably, then race it.</t>
        </is>
      </c>
      <c r="Q2" s="32" t="inlineStr">
        <is>
          <t>Beginner only</t>
        </is>
      </c>
      <c r="R2" s="33">
        <f>COUNTIF('Run weeks'!$A$2:$A$401,A2)</f>
        <v/>
      </c>
      <c r="S2" s="33">
        <f>COUNTIF('Run sessions'!$A$2:$A$401,A2)</f>
        <v/>
      </c>
      <c r="T2" s="32" t="n"/>
    </row>
    <row r="3" ht="15" customHeight="1" s="21">
      <c r="A3" s="30" t="inlineStr">
        <is>
          <t>Faster 5K</t>
        </is>
      </c>
      <c r="B3" s="32" t="inlineStr">
        <is>
          <t>Faster 5K</t>
        </is>
      </c>
      <c r="C3" s="32" t="n">
        <v>12</v>
      </c>
      <c r="D3" s="32" t="inlineStr">
        <is>
          <t>Repeat</t>
        </is>
      </c>
      <c r="E3" s="32" t="n">
        <v>3</v>
      </c>
      <c r="F3" s="32" t="n">
        <v>5</v>
      </c>
      <c r="G3" s="32" t="n">
        <v>1</v>
      </c>
      <c r="H3" s="32" t="n">
        <v>2</v>
      </c>
      <c r="I3" s="32" t="n">
        <v>12</v>
      </c>
      <c r="J3" s="32" t="n">
        <v>60</v>
      </c>
      <c r="K3" s="32" t="n">
        <v>20</v>
      </c>
      <c r="L3" s="32" t="n">
        <v>30</v>
      </c>
      <c r="M3" s="32" t="n">
        <v>45</v>
      </c>
      <c r="N3" s="32" t="n">
        <v>1</v>
      </c>
      <c r="O3" s="32" t="inlineStr">
        <is>
          <t>Full body ×2</t>
        </is>
      </c>
      <c r="P3" s="32" t="inlineStr">
        <is>
          <t>Speed, VO2max and threshold work to lower your 5K time.</t>
        </is>
      </c>
      <c r="Q3" s="32" t="inlineStr">
        <is>
          <t>All levels</t>
        </is>
      </c>
      <c r="R3" s="33">
        <f>COUNTIF('Run weeks'!$A$2:$A$401,A3)</f>
        <v/>
      </c>
      <c r="S3" s="33">
        <f>COUNTIF('Run sessions'!$A$2:$A$401,A3)</f>
        <v/>
      </c>
      <c r="T3" s="32" t="n"/>
    </row>
    <row r="4" ht="15" customHeight="1" s="21">
      <c r="A4" s="30" t="inlineStr">
        <is>
          <t>Faster 10K</t>
        </is>
      </c>
      <c r="B4" s="32" t="inlineStr">
        <is>
          <t>Faster 10K</t>
        </is>
      </c>
      <c r="C4" s="32" t="n">
        <v>12</v>
      </c>
      <c r="D4" s="32" t="inlineStr">
        <is>
          <t>Repeat</t>
        </is>
      </c>
      <c r="E4" s="32" t="n">
        <v>3</v>
      </c>
      <c r="F4" s="32" t="n">
        <v>5</v>
      </c>
      <c r="G4" s="32" t="n">
        <v>1</v>
      </c>
      <c r="H4" s="32" t="n">
        <v>5</v>
      </c>
      <c r="I4" s="32" t="n">
        <v>16</v>
      </c>
      <c r="J4" s="32" t="n">
        <v>45</v>
      </c>
      <c r="K4" s="32" t="n">
        <v>20</v>
      </c>
      <c r="L4" s="32" t="n">
        <v>40</v>
      </c>
      <c r="M4" s="32" t="n">
        <v>55</v>
      </c>
      <c r="N4" s="32" t="n">
        <v>1</v>
      </c>
      <c r="O4" s="32" t="inlineStr">
        <is>
          <t>Full body ×2</t>
        </is>
      </c>
      <c r="P4" s="32" t="inlineStr">
        <is>
          <t>Sharper speed and threshold work to lower your 10K time.</t>
        </is>
      </c>
      <c r="Q4" s="32" t="inlineStr">
        <is>
          <t>All levels</t>
        </is>
      </c>
      <c r="R4" s="33">
        <f>COUNTIF('Run weeks'!$A$2:$A$401,A4)</f>
        <v/>
      </c>
      <c r="S4" s="33">
        <f>COUNTIF('Run sessions'!$A$2:$A$401,A4)</f>
        <v/>
      </c>
      <c r="T4" s="32" t="n"/>
    </row>
    <row r="5" ht="15" customHeight="1" s="21">
      <c r="A5" s="30" t="inlineStr">
        <is>
          <t>Half marathon</t>
        </is>
      </c>
      <c r="B5" s="32" t="inlineStr">
        <is>
          <t>Half marathon</t>
        </is>
      </c>
      <c r="C5" s="32" t="n">
        <v>12</v>
      </c>
      <c r="D5" s="32" t="inlineStr">
        <is>
          <t>Repeat</t>
        </is>
      </c>
      <c r="E5" s="32" t="n">
        <v>3</v>
      </c>
      <c r="F5" s="32" t="n">
        <v>5</v>
      </c>
      <c r="G5" s="32" t="n">
        <v>1</v>
      </c>
      <c r="H5" s="32" t="n">
        <v>2</v>
      </c>
      <c r="I5" s="32" t="n">
        <v>22</v>
      </c>
      <c r="J5" s="32" t="n">
        <v>70</v>
      </c>
      <c r="K5" s="32" t="n">
        <v>25</v>
      </c>
      <c r="L5" s="32" t="n">
        <v>40</v>
      </c>
      <c r="M5" s="32" t="n">
        <v>55</v>
      </c>
      <c r="N5" s="32" t="n">
        <v>2</v>
      </c>
      <c r="O5" s="32" t="inlineStr">
        <is>
          <t>Full body ×2</t>
        </is>
      </c>
      <c r="P5" s="32" t="inlineStr">
        <is>
          <t>Aerobic base, threshold and a long run that builds to race distance.</t>
        </is>
      </c>
      <c r="Q5" s="32" t="inlineStr">
        <is>
          <t>All levels</t>
        </is>
      </c>
      <c r="R5" s="33">
        <f>COUNTIF('Run weeks'!$A$2:$A$401,A5)</f>
        <v/>
      </c>
      <c r="S5" s="33">
        <f>COUNTIF('Run sessions'!$A$2:$A$401,A5)</f>
        <v/>
      </c>
      <c r="T5" s="32" t="n"/>
    </row>
    <row r="6" ht="15" customHeight="1" s="21">
      <c r="A6" s="30" t="inlineStr">
        <is>
          <t>Marathon</t>
        </is>
      </c>
      <c r="B6" s="32" t="inlineStr">
        <is>
          <t>Marathon</t>
        </is>
      </c>
      <c r="C6" s="32" t="n">
        <v>16</v>
      </c>
      <c r="D6" s="32" t="inlineStr">
        <is>
          <t>Repeat</t>
        </is>
      </c>
      <c r="E6" s="32" t="n">
        <v>4</v>
      </c>
      <c r="F6" s="32" t="n">
        <v>6</v>
      </c>
      <c r="G6" s="32" t="n">
        <v>1</v>
      </c>
      <c r="H6" s="32" t="n">
        <v>2</v>
      </c>
      <c r="I6" s="32" t="n">
        <v>32</v>
      </c>
      <c r="J6" s="32" t="n">
        <v>100</v>
      </c>
      <c r="K6" s="32" t="n">
        <v>50</v>
      </c>
      <c r="L6" s="32" t="n">
        <v>75</v>
      </c>
      <c r="M6" s="32" t="n">
        <v>85</v>
      </c>
      <c r="N6" s="32" t="n">
        <v>2</v>
      </c>
      <c r="O6" s="32" t="inlineStr">
        <is>
          <t>Full body ×2</t>
        </is>
      </c>
      <c r="P6" s="32" t="inlineStr">
        <is>
          <t>Volume, long runs and marathon-pace work, with a three-week taper.</t>
        </is>
      </c>
      <c r="Q6" s="32" t="inlineStr">
        <is>
          <t>All levels</t>
        </is>
      </c>
      <c r="R6" s="33">
        <f>COUNTIF('Run weeks'!$A$2:$A$401,A6)</f>
        <v/>
      </c>
      <c r="S6" s="33">
        <f>COUNTIF('Run sessions'!$A$2:$A$401,A6)</f>
        <v/>
      </c>
      <c r="T6" s="32" t="n"/>
    </row>
    <row r="7" ht="15" customHeight="1" s="21">
      <c r="A7" s="30" t="inlineStr">
        <is>
          <t>Build strength</t>
        </is>
      </c>
      <c r="B7" s="32" t="inlineStr">
        <is>
          <t>Build strength</t>
        </is>
      </c>
      <c r="C7" s="32" t="n">
        <v>8</v>
      </c>
      <c r="D7" s="32" t="inlineStr">
        <is>
          <t>Repeat</t>
        </is>
      </c>
      <c r="E7" s="32" t="n">
        <v>1</v>
      </c>
      <c r="F7" s="32" t="n">
        <v>3</v>
      </c>
      <c r="G7" s="32" t="n">
        <v>2</v>
      </c>
      <c r="H7" s="32" t="n">
        <v>4</v>
      </c>
      <c r="I7" s="32" t="n">
        <v>10</v>
      </c>
      <c r="J7" s="32" t="n">
        <v>25</v>
      </c>
      <c r="K7" s="32" t="n">
        <v>10</v>
      </c>
      <c r="L7" s="32" t="n">
        <v>15</v>
      </c>
      <c r="M7" s="32" t="n">
        <v>25</v>
      </c>
      <c r="N7" s="32" t="n">
        <v>1</v>
      </c>
      <c r="O7" s="32" t="inlineStr">
        <is>
          <t>Upper / Lower</t>
        </is>
      </c>
      <c r="P7" s="32" t="inlineStr">
        <is>
          <t>Heavy compound lifts with enough running to keep your engine.</t>
        </is>
      </c>
      <c r="Q7" s="32" t="inlineStr">
        <is>
          <t>All levels</t>
        </is>
      </c>
      <c r="R7" s="33">
        <f>COUNTIF('Run weeks'!$A$2:$A$401,A7)</f>
        <v/>
      </c>
      <c r="S7" s="33">
        <f>COUNTIF('Run sessions'!$A$2:$A$401,A7)</f>
        <v/>
      </c>
      <c r="T7" s="32" t="n"/>
    </row>
    <row r="8" ht="15" customHeight="1" s="21">
      <c r="A8" s="30" t="inlineStr">
        <is>
          <t>Build muscle</t>
        </is>
      </c>
      <c r="B8" s="32" t="inlineStr">
        <is>
          <t>Build muscle</t>
        </is>
      </c>
      <c r="C8" s="32" t="n">
        <v>8</v>
      </c>
      <c r="D8" s="32" t="inlineStr">
        <is>
          <t>Repeat</t>
        </is>
      </c>
      <c r="E8" s="32" t="n">
        <v>1</v>
      </c>
      <c r="F8" s="32" t="n">
        <v>3</v>
      </c>
      <c r="G8" s="32" t="n">
        <v>3</v>
      </c>
      <c r="H8" s="32" t="n">
        <v>5</v>
      </c>
      <c r="I8" s="32" t="n">
        <v>10</v>
      </c>
      <c r="J8" s="32" t="n">
        <v>25</v>
      </c>
      <c r="K8" s="32" t="n">
        <v>10</v>
      </c>
      <c r="L8" s="32" t="n">
        <v>15</v>
      </c>
      <c r="M8" s="32" t="n">
        <v>25</v>
      </c>
      <c r="N8" s="32" t="n">
        <v>1</v>
      </c>
      <c r="O8" s="32" t="inlineStr">
        <is>
          <t>Push / Pull / Legs</t>
        </is>
      </c>
      <c r="P8" s="32" t="inlineStr">
        <is>
          <t>Hypertrophy-focused lifting with easy aerobic running.</t>
        </is>
      </c>
      <c r="Q8" s="32" t="inlineStr">
        <is>
          <t>All levels</t>
        </is>
      </c>
      <c r="R8" s="33">
        <f>COUNTIF('Run weeks'!$A$2:$A$401,A8)</f>
        <v/>
      </c>
      <c r="S8" s="33">
        <f>COUNTIF('Run sessions'!$A$2:$A$401,A8)</f>
        <v/>
      </c>
      <c r="T8" s="32" t="inlineStr">
        <is>
          <t>Push / Pull / Legs / Upper</t>
        </is>
      </c>
    </row>
    <row r="9" ht="15" customHeight="1" s="21">
      <c r="A9" s="30" t="inlineStr">
        <is>
          <t>Balanced hybrid</t>
        </is>
      </c>
      <c r="B9" s="32" t="inlineStr">
        <is>
          <t>Balanced hybrid</t>
        </is>
      </c>
      <c r="C9" s="32" t="n">
        <v>8</v>
      </c>
      <c r="D9" s="32" t="inlineStr">
        <is>
          <t>Repeat</t>
        </is>
      </c>
      <c r="E9" s="32" t="n">
        <v>2</v>
      </c>
      <c r="F9" s="32" t="n">
        <v>4</v>
      </c>
      <c r="G9" s="32" t="n">
        <v>2</v>
      </c>
      <c r="H9" s="32" t="n">
        <v>3</v>
      </c>
      <c r="I9" s="32" t="n">
        <v>16</v>
      </c>
      <c r="J9" s="32" t="n">
        <v>35</v>
      </c>
      <c r="K9" s="32" t="n">
        <v>15</v>
      </c>
      <c r="L9" s="32" t="n">
        <v>25</v>
      </c>
      <c r="M9" s="32" t="n">
        <v>40</v>
      </c>
      <c r="N9" s="32" t="n">
        <v>1</v>
      </c>
      <c r="O9" s="32" t="inlineStr">
        <is>
          <t>Full body ×3</t>
        </is>
      </c>
      <c r="P9" s="32" t="inlineStr">
        <is>
          <t>Run and lift in balance: get faster and stronger together.</t>
        </is>
      </c>
      <c r="Q9" s="32" t="inlineStr">
        <is>
          <t>All levels</t>
        </is>
      </c>
      <c r="R9" s="33">
        <f>COUNTIF('Run weeks'!$A$2:$A$401,A9)</f>
        <v/>
      </c>
      <c r="S9" s="33">
        <f>COUNTIF('Run sessions'!$A$2:$A$401,A9)</f>
        <v/>
      </c>
      <c r="T9" s="32" t="n"/>
    </row>
    <row r="10" ht="23.85" customHeight="1" s="21">
      <c r="A10" s="30" t="inlineStr">
        <is>
          <t>Hyrox</t>
        </is>
      </c>
      <c r="B10" s="32" t="inlineStr">
        <is>
          <t>Hyrox</t>
        </is>
      </c>
      <c r="C10" s="32" t="n">
        <v>12</v>
      </c>
      <c r="D10" s="32" t="inlineStr">
        <is>
          <t>Repeat</t>
        </is>
      </c>
      <c r="E10" s="32" t="n">
        <v>3</v>
      </c>
      <c r="F10" s="32" t="n">
        <v>5</v>
      </c>
      <c r="G10" s="32" t="n">
        <v>2</v>
      </c>
      <c r="H10" s="32" t="n">
        <v>3</v>
      </c>
      <c r="I10" s="32" t="n">
        <v>16</v>
      </c>
      <c r="J10" s="32" t="n">
        <v>55</v>
      </c>
      <c r="K10" s="32" t="n">
        <v>20</v>
      </c>
      <c r="L10" s="32" t="n">
        <v>30</v>
      </c>
      <c r="M10" s="32" t="n">
        <v>45</v>
      </c>
      <c r="N10" s="32" t="n">
        <v>1</v>
      </c>
      <c r="O10" s="32" t="inlineStr">
        <is>
          <t>Hyrox: strength + stations</t>
        </is>
      </c>
      <c r="P10" s="32" t="inlineStr">
        <is>
          <t>Running, strength and station work for your Hyrox race, with compromised runs and a race simulation.</t>
        </is>
      </c>
      <c r="Q10" s="32" t="inlineStr">
        <is>
          <t>All levels</t>
        </is>
      </c>
      <c r="R10" s="33">
        <f>COUNTIF('Run weeks'!$A$2:$A$401,A10)</f>
        <v/>
      </c>
      <c r="S10" s="33">
        <f>COUNTIF('Run sessions'!$A$2:$A$401,A10)</f>
        <v/>
      </c>
      <c r="T10" s="32" t="n"/>
    </row>
    <row r="12" ht="15" customHeight="1" s="21">
      <c r="A12" s="34" t="inlineStr">
        <is>
          <t>Programme names in column A are fixed (they match the onboarding goals). Values shown are the app's current defaults.</t>
        </is>
      </c>
    </row>
  </sheetData>
  <dataValidations count="4">
    <dataValidation sqref="D2:D10" showDropDown="0" showInputMessage="1" showErrorMessage="1" allowBlank="1" errorTitle="Choose from the list" error="Pick one of the options in the drop-down." promptTitle="Tip" prompt="What happens when the last week is done." type="list" errorStyle="stop" operator="between">
      <formula1>"Repeat,Repeat harder,Maintenance,Stop"</formula1>
      <formula2>0</formula2>
    </dataValidation>
    <dataValidation sqref="O2:O10" showDropDown="0" showInputMessage="1" showErrorMessage="1" allowBlank="1" errorTitle="Choose from the list" error="Pick one of the options in the drop-down." promptTitle="Tip" prompt="The split suggested in onboarding (the user can change it)." type="list" errorStyle="stop" operator="between">
      <formula1>Lists!$E$2:$E$13</formula1>
      <formula2>0</formula2>
    </dataValidation>
    <dataValidation sqref="Q2:Q10" showDropDown="0" showInputMessage="1" showErrorMessage="1" allowBlank="1" errorTitle="Choose from the list" error="Pick one of the options in the drop-down." promptTitle="Tip" prompt="Which runners see this goal in onboarding." type="list" errorStyle="stop" operator="between">
      <formula1>"All levels,Beginner only,Beginner and intermediate,Intermediate and advanced,Advanced only"</formula1>
      <formula2>0</formula2>
    </dataValidation>
    <dataValidation sqref="T2:T10" showDropDown="0" showInputMessage="0" showErrorMessage="0" allowBlank="1" type="list">
      <formula1>Lists!$E$2:$E$13</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J401"/>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7" customWidth="1" style="20" min="2" max="2"/>
    <col width="12" customWidth="1" style="20" min="3" max="6"/>
    <col width="50" customWidth="1" style="20" min="7" max="7"/>
    <col width="10" customWidth="1" style="20" min="8" max="8"/>
    <col width="11" customWidth="1" style="20" min="9" max="10"/>
  </cols>
  <sheetData>
    <row r="1" ht="31.5" customHeight="1" s="21">
      <c r="A1" s="31" t="inlineStr">
        <is>
          <t>Programme</t>
        </is>
      </c>
      <c r="B1" s="31" t="inlineStr">
        <is>
          <t>Week</t>
        </is>
      </c>
      <c r="C1" s="31" t="inlineStr">
        <is>
          <t>Phase</t>
        </is>
      </c>
      <c r="D1" s="31" t="inlineStr">
        <is>
          <t>Volume (% of race-ready)</t>
        </is>
      </c>
      <c r="E1" s="31" t="inlineStr">
        <is>
          <t>Long run</t>
        </is>
      </c>
      <c r="F1" s="31" t="inlineStr">
        <is>
          <t>Strength emphasis</t>
        </is>
      </c>
      <c r="G1" s="31" t="inlineStr">
        <is>
          <t>Notes for the runner</t>
        </is>
      </c>
      <c r="H1" s="31" t="inlineStr">
        <is>
          <t>Sessions written</t>
        </is>
      </c>
      <c r="I1" s="31" t="inlineStr">
        <is>
          <t>Example: week km</t>
        </is>
      </c>
      <c r="J1" s="31" t="inlineStr">
        <is>
          <t>Example: long run km</t>
        </is>
      </c>
    </row>
    <row r="2" ht="15" customHeight="1" s="21">
      <c r="A2" s="32" t="inlineStr">
        <is>
          <t>Half marathon</t>
        </is>
      </c>
      <c r="B2" s="32" t="n">
        <v>1</v>
      </c>
      <c r="C2" s="32" t="inlineStr">
        <is>
          <t>Base</t>
        </is>
      </c>
      <c r="D2" s="35" t="n">
        <v>1</v>
      </c>
      <c r="E2" s="32" t="inlineStr">
        <is>
          <t>auto</t>
        </is>
      </c>
      <c r="F2" s="32" t="inlineStr">
        <is>
          <t>Normal</t>
        </is>
      </c>
      <c r="G2" s="32" t="inlineStr">
        <is>
          <t>Settle in: everything easy except one short tempo.</t>
        </is>
      </c>
      <c r="H2" s="33">
        <f>IF(A2="","",COUNTIFS('Run sessions'!$A$2:$A$401,A2,'Run sessions'!$B$2:$B$401,B2))</f>
        <v/>
      </c>
      <c r="I2" s="33">
        <f>IF(OR(A2="",D2=""),"",IFERROR(ROUND(D2*IF(INDEX(Programmes!$L$2:$L$10,MATCH(A2,Programmes!$A$2:$A$10,0))="",INDEX(Programmes!$K$2:$K$10,MATCH(A2,Programmes!$A$2:$A$10,0)),INDEX(Programmes!$L$2:$L$10,MATCH(A2,Programmes!$A$2:$A$10,0))),1),""))</f>
        <v/>
      </c>
      <c r="J2" s="33">
        <f>IF(I2="","",IF(LOWER(E2)="auto",ROUND(I2*Rules!$C$8,1),IF(RIGHT(E2,1)="%",ROUND(I2*VALUE(LEFT(E2,LEN(E2)-1))/100,1),IF(RIGHT(LOWER(E2),2)="km",VALUE(LEFT(E2,LEN(E2)-2)),IF(LOWER(E2)="race","race",E2)))))</f>
        <v/>
      </c>
    </row>
    <row r="3" ht="15" customHeight="1" s="21">
      <c r="A3" s="32" t="inlineStr">
        <is>
          <t>Half marathon</t>
        </is>
      </c>
      <c r="B3" s="32" t="n">
        <v>2</v>
      </c>
      <c r="C3" s="32" t="inlineStr">
        <is>
          <t>Base</t>
        </is>
      </c>
      <c r="D3" s="35" t="n">
        <v>1.05</v>
      </c>
      <c r="E3" s="32" t="inlineStr">
        <is>
          <t>auto</t>
        </is>
      </c>
      <c r="F3" s="32" t="inlineStr">
        <is>
          <t>Normal</t>
        </is>
      </c>
      <c r="G3" s="32" t="n"/>
      <c r="H3" s="33">
        <f>IF(A3="","",COUNTIFS('Run sessions'!$A$2:$A$401,A3,'Run sessions'!$B$2:$B$401,B3))</f>
        <v/>
      </c>
      <c r="I3" s="33">
        <f>IF(OR(A3="",D3=""),"",IFERROR(ROUND(D3*IF(INDEX(Programmes!$L$2:$L$10,MATCH(A3,Programmes!$A$2:$A$10,0))="",INDEX(Programmes!$K$2:$K$10,MATCH(A3,Programmes!$A$2:$A$10,0)),INDEX(Programmes!$L$2:$L$10,MATCH(A3,Programmes!$A$2:$A$10,0))),1),""))</f>
        <v/>
      </c>
      <c r="J3" s="33">
        <f>IF(I3="","",IF(LOWER(E3)="auto",ROUND(I3*Rules!$C$8,1),IF(RIGHT(E3,1)="%",ROUND(I3*VALUE(LEFT(E3,LEN(E3)-1))/100,1),IF(RIGHT(LOWER(E3),2)="km",VALUE(LEFT(E3,LEN(E3)-2)),IF(LOWER(E3)="race","race",E3)))))</f>
        <v/>
      </c>
    </row>
    <row r="4" ht="15" customHeight="1" s="21">
      <c r="A4" s="32" t="inlineStr">
        <is>
          <t>Half marathon</t>
        </is>
      </c>
      <c r="B4" s="32" t="n">
        <v>3</v>
      </c>
      <c r="C4" s="32" t="inlineStr">
        <is>
          <t>Base</t>
        </is>
      </c>
      <c r="D4" s="35" t="n">
        <v>1.1</v>
      </c>
      <c r="E4" s="32" t="inlineStr">
        <is>
          <t>auto</t>
        </is>
      </c>
      <c r="F4" s="32" t="inlineStr">
        <is>
          <t>Heavy</t>
        </is>
      </c>
      <c r="G4" s="32" t="n"/>
      <c r="H4" s="33">
        <f>IF(A4="","",COUNTIFS('Run sessions'!$A$2:$A$401,A4,'Run sessions'!$B$2:$B$401,B4))</f>
        <v/>
      </c>
      <c r="I4" s="33">
        <f>IF(OR(A4="",D4=""),"",IFERROR(ROUND(D4*IF(INDEX(Programmes!$L$2:$L$10,MATCH(A4,Programmes!$A$2:$A$10,0))="",INDEX(Programmes!$K$2:$K$10,MATCH(A4,Programmes!$A$2:$A$10,0)),INDEX(Programmes!$L$2:$L$10,MATCH(A4,Programmes!$A$2:$A$10,0))),1),""))</f>
        <v/>
      </c>
      <c r="J4" s="33">
        <f>IF(I4="","",IF(LOWER(E4)="auto",ROUND(I4*Rules!$C$8,1),IF(RIGHT(E4,1)="%",ROUND(I4*VALUE(LEFT(E4,LEN(E4)-1))/100,1),IF(RIGHT(LOWER(E4),2)="km",VALUE(LEFT(E4,LEN(E4)-2)),IF(LOWER(E4)="race","race",E4)))))</f>
        <v/>
      </c>
    </row>
    <row r="5" ht="15" customHeight="1" s="21">
      <c r="A5" s="32" t="inlineStr">
        <is>
          <t>Half marathon</t>
        </is>
      </c>
      <c r="B5" s="32" t="n">
        <v>4</v>
      </c>
      <c r="C5" s="32" t="inlineStr">
        <is>
          <t>Deload</t>
        </is>
      </c>
      <c r="D5" s="35" t="n">
        <v>0.9</v>
      </c>
      <c r="E5" s="32" t="inlineStr">
        <is>
          <t>auto</t>
        </is>
      </c>
      <c r="F5" s="32" t="inlineStr">
        <is>
          <t>Light</t>
        </is>
      </c>
      <c r="G5" s="32" t="inlineStr">
        <is>
          <t>Lighter week: let the work sink in.</t>
        </is>
      </c>
      <c r="H5" s="33">
        <f>IF(A5="","",COUNTIFS('Run sessions'!$A$2:$A$401,A5,'Run sessions'!$B$2:$B$401,B5))</f>
        <v/>
      </c>
      <c r="I5" s="33">
        <f>IF(OR(A5="",D5=""),"",IFERROR(ROUND(D5*IF(INDEX(Programmes!$L$2:$L$10,MATCH(A5,Programmes!$A$2:$A$10,0))="",INDEX(Programmes!$K$2:$K$10,MATCH(A5,Programmes!$A$2:$A$10,0)),INDEX(Programmes!$L$2:$L$10,MATCH(A5,Programmes!$A$2:$A$10,0))),1),""))</f>
        <v/>
      </c>
      <c r="J5" s="33">
        <f>IF(I5="","",IF(LOWER(E5)="auto",ROUND(I5*Rules!$C$8,1),IF(RIGHT(E5,1)="%",ROUND(I5*VALUE(LEFT(E5,LEN(E5)-1))/100,1),IF(RIGHT(LOWER(E5),2)="km",VALUE(LEFT(E5,LEN(E5)-2)),IF(LOWER(E5)="race","race",E5)))))</f>
        <v/>
      </c>
    </row>
    <row r="6" ht="15" customHeight="1" s="21">
      <c r="A6" s="32" t="inlineStr">
        <is>
          <t>Half marathon</t>
        </is>
      </c>
      <c r="B6" s="32" t="n">
        <v>5</v>
      </c>
      <c r="C6" s="32" t="inlineStr">
        <is>
          <t>Build</t>
        </is>
      </c>
      <c r="D6" s="35" t="n">
        <v>1.15</v>
      </c>
      <c r="E6" s="32" t="inlineStr">
        <is>
          <t>auto</t>
        </is>
      </c>
      <c r="F6" s="32" t="inlineStr">
        <is>
          <t>Normal</t>
        </is>
      </c>
      <c r="G6" s="32" t="n"/>
      <c r="H6" s="33">
        <f>IF(A6="","",COUNTIFS('Run sessions'!$A$2:$A$401,A6,'Run sessions'!$B$2:$B$401,B6))</f>
        <v/>
      </c>
      <c r="I6" s="33">
        <f>IF(OR(A6="",D6=""),"",IFERROR(ROUND(D6*IF(INDEX(Programmes!$L$2:$L$10,MATCH(A6,Programmes!$A$2:$A$10,0))="",INDEX(Programmes!$K$2:$K$10,MATCH(A6,Programmes!$A$2:$A$10,0)),INDEX(Programmes!$L$2:$L$10,MATCH(A6,Programmes!$A$2:$A$10,0))),1),""))</f>
        <v/>
      </c>
      <c r="J6" s="33">
        <f>IF(I6="","",IF(LOWER(E6)="auto",ROUND(I6*Rules!$C$8,1),IF(RIGHT(E6,1)="%",ROUND(I6*VALUE(LEFT(E6,LEN(E6)-1))/100,1),IF(RIGHT(LOWER(E6),2)="km",VALUE(LEFT(E6,LEN(E6)-2)),IF(LOWER(E6)="race","race",E6)))))</f>
        <v/>
      </c>
    </row>
    <row r="7" ht="15" customHeight="1" s="21">
      <c r="A7" s="32" t="inlineStr">
        <is>
          <t>Half marathon</t>
        </is>
      </c>
      <c r="B7" s="32" t="n">
        <v>6</v>
      </c>
      <c r="C7" s="32" t="inlineStr">
        <is>
          <t>Build</t>
        </is>
      </c>
      <c r="D7" s="35" t="n">
        <v>1.2</v>
      </c>
      <c r="E7" s="32" t="inlineStr">
        <is>
          <t>auto</t>
        </is>
      </c>
      <c r="F7" s="32" t="inlineStr">
        <is>
          <t>Heavy</t>
        </is>
      </c>
      <c r="G7" s="32" t="n"/>
      <c r="H7" s="33">
        <f>IF(A7="","",COUNTIFS('Run sessions'!$A$2:$A$401,A7,'Run sessions'!$B$2:$B$401,B7))</f>
        <v/>
      </c>
      <c r="I7" s="33">
        <f>IF(OR(A7="",D7=""),"",IFERROR(ROUND(D7*IF(INDEX(Programmes!$L$2:$L$10,MATCH(A7,Programmes!$A$2:$A$10,0))="",INDEX(Programmes!$K$2:$K$10,MATCH(A7,Programmes!$A$2:$A$10,0)),INDEX(Programmes!$L$2:$L$10,MATCH(A7,Programmes!$A$2:$A$10,0))),1),""))</f>
        <v/>
      </c>
      <c r="J7" s="33">
        <f>IF(I7="","",IF(LOWER(E7)="auto",ROUND(I7*Rules!$C$8,1),IF(RIGHT(E7,1)="%",ROUND(I7*VALUE(LEFT(E7,LEN(E7)-1))/100,1),IF(RIGHT(LOWER(E7),2)="km",VALUE(LEFT(E7,LEN(E7)-2)),IF(LOWER(E7)="race","race",E7)))))</f>
        <v/>
      </c>
    </row>
    <row r="8" ht="15" customHeight="1" s="21">
      <c r="A8" s="32" t="inlineStr">
        <is>
          <t>Half marathon</t>
        </is>
      </c>
      <c r="B8" s="32" t="n">
        <v>7</v>
      </c>
      <c r="C8" s="32" t="inlineStr">
        <is>
          <t>Build</t>
        </is>
      </c>
      <c r="D8" s="35" t="n">
        <v>1.25</v>
      </c>
      <c r="E8" s="32" t="inlineStr">
        <is>
          <t>auto</t>
        </is>
      </c>
      <c r="F8" s="32" t="inlineStr">
        <is>
          <t>Normal</t>
        </is>
      </c>
      <c r="G8" s="32" t="n"/>
      <c r="H8" s="33">
        <f>IF(A8="","",COUNTIFS('Run sessions'!$A$2:$A$401,A8,'Run sessions'!$B$2:$B$401,B8))</f>
        <v/>
      </c>
      <c r="I8" s="33">
        <f>IF(OR(A8="",D8=""),"",IFERROR(ROUND(D8*IF(INDEX(Programmes!$L$2:$L$10,MATCH(A8,Programmes!$A$2:$A$10,0))="",INDEX(Programmes!$K$2:$K$10,MATCH(A8,Programmes!$A$2:$A$10,0)),INDEX(Programmes!$L$2:$L$10,MATCH(A8,Programmes!$A$2:$A$10,0))),1),""))</f>
        <v/>
      </c>
      <c r="J8" s="33">
        <f>IF(I8="","",IF(LOWER(E8)="auto",ROUND(I8*Rules!$C$8,1),IF(RIGHT(E8,1)="%",ROUND(I8*VALUE(LEFT(E8,LEN(E8)-1))/100,1),IF(RIGHT(LOWER(E8),2)="km",VALUE(LEFT(E8,LEN(E8)-2)),IF(LOWER(E8)="race","race",E8)))))</f>
        <v/>
      </c>
    </row>
    <row r="9" ht="15" customHeight="1" s="21">
      <c r="A9" s="32" t="inlineStr">
        <is>
          <t>Half marathon</t>
        </is>
      </c>
      <c r="B9" s="32" t="n">
        <v>8</v>
      </c>
      <c r="C9" s="32" t="inlineStr">
        <is>
          <t>Deload</t>
        </is>
      </c>
      <c r="D9" s="35" t="n">
        <v>1</v>
      </c>
      <c r="E9" s="32" t="inlineStr">
        <is>
          <t>auto</t>
        </is>
      </c>
      <c r="F9" s="32" t="inlineStr">
        <is>
          <t>Light</t>
        </is>
      </c>
      <c r="G9" s="32" t="n"/>
      <c r="H9" s="33">
        <f>IF(A9="","",COUNTIFS('Run sessions'!$A$2:$A$401,A9,'Run sessions'!$B$2:$B$401,B9))</f>
        <v/>
      </c>
      <c r="I9" s="33">
        <f>IF(OR(A9="",D9=""),"",IFERROR(ROUND(D9*IF(INDEX(Programmes!$L$2:$L$10,MATCH(A9,Programmes!$A$2:$A$10,0))="",INDEX(Programmes!$K$2:$K$10,MATCH(A9,Programmes!$A$2:$A$10,0)),INDEX(Programmes!$L$2:$L$10,MATCH(A9,Programmes!$A$2:$A$10,0))),1),""))</f>
        <v/>
      </c>
      <c r="J9" s="33">
        <f>IF(I9="","",IF(LOWER(E9)="auto",ROUND(I9*Rules!$C$8,1),IF(RIGHT(E9,1)="%",ROUND(I9*VALUE(LEFT(E9,LEN(E9)-1))/100,1),IF(RIGHT(LOWER(E9),2)="km",VALUE(LEFT(E9,LEN(E9)-2)),IF(LOWER(E9)="race","race",E9)))))</f>
        <v/>
      </c>
    </row>
    <row r="10" ht="15" customHeight="1" s="21">
      <c r="A10" s="32" t="inlineStr">
        <is>
          <t>Half marathon</t>
        </is>
      </c>
      <c r="B10" s="32" t="n">
        <v>9</v>
      </c>
      <c r="C10" s="32" t="inlineStr">
        <is>
          <t>Peak</t>
        </is>
      </c>
      <c r="D10" s="35" t="n">
        <v>1.3</v>
      </c>
      <c r="E10" s="32" t="inlineStr">
        <is>
          <t>18km</t>
        </is>
      </c>
      <c r="F10" s="32" t="inlineStr">
        <is>
          <t>Normal</t>
        </is>
      </c>
      <c r="G10" s="32" t="inlineStr">
        <is>
          <t>Biggest week.</t>
        </is>
      </c>
      <c r="H10" s="33">
        <f>IF(A10="","",COUNTIFS('Run sessions'!$A$2:$A$401,A10,'Run sessions'!$B$2:$B$401,B10))</f>
        <v/>
      </c>
      <c r="I10" s="33">
        <f>IF(OR(A10="",D10=""),"",IFERROR(ROUND(D10*IF(INDEX(Programmes!$L$2:$L$10,MATCH(A10,Programmes!$A$2:$A$10,0))="",INDEX(Programmes!$K$2:$K$10,MATCH(A10,Programmes!$A$2:$A$10,0)),INDEX(Programmes!$L$2:$L$10,MATCH(A10,Programmes!$A$2:$A$10,0))),1),""))</f>
        <v/>
      </c>
      <c r="J10" s="33">
        <f>IF(I10="","",IF(LOWER(E10)="auto",ROUND(I10*Rules!$C$8,1),IF(RIGHT(E10,1)="%",ROUND(I10*VALUE(LEFT(E10,LEN(E10)-1))/100,1),IF(RIGHT(LOWER(E10),2)="km",VALUE(LEFT(E10,LEN(E10)-2)),IF(LOWER(E10)="race","race",E10)))))</f>
        <v/>
      </c>
    </row>
    <row r="11" ht="15" customHeight="1" s="21">
      <c r="A11" s="32" t="inlineStr">
        <is>
          <t>Half marathon</t>
        </is>
      </c>
      <c r="B11" s="32" t="n">
        <v>10</v>
      </c>
      <c r="C11" s="32" t="inlineStr">
        <is>
          <t>Peak</t>
        </is>
      </c>
      <c r="D11" s="35" t="n">
        <v>1.3</v>
      </c>
      <c r="E11" s="32" t="inlineStr">
        <is>
          <t>auto</t>
        </is>
      </c>
      <c r="F11" s="32" t="inlineStr">
        <is>
          <t>Normal</t>
        </is>
      </c>
      <c r="G11" s="32" t="n"/>
      <c r="H11" s="33">
        <f>IF(A11="","",COUNTIFS('Run sessions'!$A$2:$A$401,A11,'Run sessions'!$B$2:$B$401,B11))</f>
        <v/>
      </c>
      <c r="I11" s="33">
        <f>IF(OR(A11="",D11=""),"",IFERROR(ROUND(D11*IF(INDEX(Programmes!$L$2:$L$10,MATCH(A11,Programmes!$A$2:$A$10,0))="",INDEX(Programmes!$K$2:$K$10,MATCH(A11,Programmes!$A$2:$A$10,0)),INDEX(Programmes!$L$2:$L$10,MATCH(A11,Programmes!$A$2:$A$10,0))),1),""))</f>
        <v/>
      </c>
      <c r="J11" s="33">
        <f>IF(I11="","",IF(LOWER(E11)="auto",ROUND(I11*Rules!$C$8,1),IF(RIGHT(E11,1)="%",ROUND(I11*VALUE(LEFT(E11,LEN(E11)-1))/100,1),IF(RIGHT(LOWER(E11),2)="km",VALUE(LEFT(E11,LEN(E11)-2)),IF(LOWER(E11)="race","race",E11)))))</f>
        <v/>
      </c>
    </row>
    <row r="12" ht="15" customHeight="1" s="21">
      <c r="A12" s="32" t="inlineStr">
        <is>
          <t>Half marathon</t>
        </is>
      </c>
      <c r="B12" s="32" t="n">
        <v>11</v>
      </c>
      <c r="C12" s="32" t="inlineStr">
        <is>
          <t>Taper</t>
        </is>
      </c>
      <c r="D12" s="35" t="n">
        <v>0.85</v>
      </c>
      <c r="E12" s="32" t="inlineStr">
        <is>
          <t>auto</t>
        </is>
      </c>
      <c r="F12" s="32" t="inlineStr">
        <is>
          <t>Light</t>
        </is>
      </c>
      <c r="G12" s="32" t="inlineStr">
        <is>
          <t>Freshen up.</t>
        </is>
      </c>
      <c r="H12" s="33">
        <f>IF(A12="","",COUNTIFS('Run sessions'!$A$2:$A$401,A12,'Run sessions'!$B$2:$B$401,B12))</f>
        <v/>
      </c>
      <c r="I12" s="33">
        <f>IF(OR(A12="",D12=""),"",IFERROR(ROUND(D12*IF(INDEX(Programmes!$L$2:$L$10,MATCH(A12,Programmes!$A$2:$A$10,0))="",INDEX(Programmes!$K$2:$K$10,MATCH(A12,Programmes!$A$2:$A$10,0)),INDEX(Programmes!$L$2:$L$10,MATCH(A12,Programmes!$A$2:$A$10,0))),1),""))</f>
        <v/>
      </c>
      <c r="J12" s="33">
        <f>IF(I12="","",IF(LOWER(E12)="auto",ROUND(I12*Rules!$C$8,1),IF(RIGHT(E12,1)="%",ROUND(I12*VALUE(LEFT(E12,LEN(E12)-1))/100,1),IF(RIGHT(LOWER(E12),2)="km",VALUE(LEFT(E12,LEN(E12)-2)),IF(LOWER(E12)="race","race",E12)))))</f>
        <v/>
      </c>
    </row>
    <row r="13" ht="15" customHeight="1" s="21">
      <c r="A13" s="32" t="inlineStr">
        <is>
          <t>Half marathon</t>
        </is>
      </c>
      <c r="B13" s="32" t="n">
        <v>12</v>
      </c>
      <c r="C13" s="32" t="inlineStr">
        <is>
          <t>Race week</t>
        </is>
      </c>
      <c r="D13" s="35" t="n">
        <v>0.55</v>
      </c>
      <c r="E13" s="32" t="inlineStr">
        <is>
          <t>Race</t>
        </is>
      </c>
      <c r="F13" s="32" t="inlineStr">
        <is>
          <t>None</t>
        </is>
      </c>
      <c r="G13" s="32" t="inlineStr">
        <is>
          <t>Race day!</t>
        </is>
      </c>
      <c r="H13" s="33">
        <f>IF(A13="","",COUNTIFS('Run sessions'!$A$2:$A$401,A13,'Run sessions'!$B$2:$B$401,B13))</f>
        <v/>
      </c>
      <c r="I13" s="33">
        <f>IF(OR(A13="",D13=""),"",IFERROR(ROUND(D13*IF(INDEX(Programmes!$L$2:$L$10,MATCH(A13,Programmes!$A$2:$A$10,0))="",INDEX(Programmes!$K$2:$K$10,MATCH(A13,Programmes!$A$2:$A$10,0)),INDEX(Programmes!$L$2:$L$10,MATCH(A13,Programmes!$A$2:$A$10,0))),1),""))</f>
        <v/>
      </c>
      <c r="J13" s="33">
        <f>IF(I13="","",IF(LOWER(E13)="auto",ROUND(I13*Rules!$C$8,1),IF(RIGHT(E13,1)="%",ROUND(I13*VALUE(LEFT(E13,LEN(E13)-1))/100,1),IF(RIGHT(LOWER(E13),2)="km",VALUE(LEFT(E13,LEN(E13)-2)),IF(LOWER(E13)="race","race",E13)))))</f>
        <v/>
      </c>
    </row>
    <row r="14" ht="15" customHeight="1" s="21">
      <c r="A14" s="32" t="inlineStr">
        <is>
          <t>Hyrox</t>
        </is>
      </c>
      <c r="B14" s="32" t="n">
        <v>1</v>
      </c>
      <c r="C14" s="32" t="inlineStr">
        <is>
          <t>Base</t>
        </is>
      </c>
      <c r="D14" s="35" t="n">
        <v>0.85</v>
      </c>
      <c r="E14" s="32" t="inlineStr">
        <is>
          <t>auto</t>
        </is>
      </c>
      <c r="F14" s="32" t="inlineStr">
        <is>
          <t>Normal</t>
        </is>
      </c>
      <c r="G14" s="32" t="inlineStr">
        <is>
          <t>Settle in: compromised runs start short, everything else easy.</t>
        </is>
      </c>
      <c r="H14" s="33">
        <f>IF(A14="","",COUNTIFS('Run sessions'!$A$2:$A$401,A14,'Run sessions'!$B$2:$B$401,B14))</f>
        <v/>
      </c>
      <c r="I14" s="33">
        <f>IF(OR(A14="",D14=""),"",IFERROR(ROUND(D14*IF(INDEX(Programmes!$L$2:$L$10,MATCH(A14,Programmes!$A$2:$A$10,0))="",INDEX(Programmes!$K$2:$K$10,MATCH(A14,Programmes!$A$2:$A$10,0)),INDEX(Programmes!$L$2:$L$10,MATCH(A14,Programmes!$A$2:$A$10,0))),1),""))</f>
        <v/>
      </c>
      <c r="J14" s="33">
        <f>IF(I14="","",IF(LOWER(E14)="auto",ROUND(I14*Rules!$C$8,1),IF(RIGHT(E14,1)="%",ROUND(I14*VALUE(LEFT(E14,LEN(E14)-1))/100,1),IF(RIGHT(LOWER(E14),2)="km",VALUE(LEFT(E14,LEN(E14)-2)),IF(LOWER(E14)="race","race",E14)))))</f>
        <v/>
      </c>
    </row>
    <row r="15" ht="15" customHeight="1" s="21">
      <c r="A15" s="32" t="inlineStr">
        <is>
          <t>Hyrox</t>
        </is>
      </c>
      <c r="B15" s="32" t="n">
        <v>2</v>
      </c>
      <c r="C15" s="32" t="inlineStr">
        <is>
          <t>Base</t>
        </is>
      </c>
      <c r="D15" s="35" t="n">
        <v>0.9</v>
      </c>
      <c r="E15" s="32" t="inlineStr">
        <is>
          <t>auto</t>
        </is>
      </c>
      <c r="F15" s="32" t="inlineStr">
        <is>
          <t>Normal</t>
        </is>
      </c>
      <c r="G15" s="32" t="n"/>
      <c r="H15" s="33">
        <f>IF(A15="","",COUNTIFS('Run sessions'!$A$2:$A$401,A15,'Run sessions'!$B$2:$B$401,B15))</f>
        <v/>
      </c>
      <c r="I15" s="33">
        <f>IF(OR(A15="",D15=""),"",IFERROR(ROUND(D15*IF(INDEX(Programmes!$L$2:$L$10,MATCH(A15,Programmes!$A$2:$A$10,0))="",INDEX(Programmes!$K$2:$K$10,MATCH(A15,Programmes!$A$2:$A$10,0)),INDEX(Programmes!$L$2:$L$10,MATCH(A15,Programmes!$A$2:$A$10,0))),1),""))</f>
        <v/>
      </c>
      <c r="J15" s="33">
        <f>IF(I15="","",IF(LOWER(E15)="auto",ROUND(I15*Rules!$C$8,1),IF(RIGHT(E15,1)="%",ROUND(I15*VALUE(LEFT(E15,LEN(E15)-1))/100,1),IF(RIGHT(LOWER(E15),2)="km",VALUE(LEFT(E15,LEN(E15)-2)),IF(LOWER(E15)="race","race",E15)))))</f>
        <v/>
      </c>
    </row>
    <row r="16" ht="15" customHeight="1" s="21">
      <c r="A16" s="32" t="inlineStr">
        <is>
          <t>Hyrox</t>
        </is>
      </c>
      <c r="B16" s="32" t="n">
        <v>3</v>
      </c>
      <c r="C16" s="32" t="inlineStr">
        <is>
          <t>Base</t>
        </is>
      </c>
      <c r="D16" s="35" t="n">
        <v>0.95</v>
      </c>
      <c r="E16" s="32" t="inlineStr">
        <is>
          <t>auto</t>
        </is>
      </c>
      <c r="F16" s="32" t="inlineStr">
        <is>
          <t>Heavy</t>
        </is>
      </c>
      <c r="G16" s="32" t="n"/>
      <c r="H16" s="33">
        <f>IF(A16="","",COUNTIFS('Run sessions'!$A$2:$A$401,A16,'Run sessions'!$B$2:$B$401,B16))</f>
        <v/>
      </c>
      <c r="I16" s="33">
        <f>IF(OR(A16="",D16=""),"",IFERROR(ROUND(D16*IF(INDEX(Programmes!$L$2:$L$10,MATCH(A16,Programmes!$A$2:$A$10,0))="",INDEX(Programmes!$K$2:$K$10,MATCH(A16,Programmes!$A$2:$A$10,0)),INDEX(Programmes!$L$2:$L$10,MATCH(A16,Programmes!$A$2:$A$10,0))),1),""))</f>
        <v/>
      </c>
      <c r="J16" s="33">
        <f>IF(I16="","",IF(LOWER(E16)="auto",ROUND(I16*Rules!$C$8,1),IF(RIGHT(E16,1)="%",ROUND(I16*VALUE(LEFT(E16,LEN(E16)-1))/100,1),IF(RIGHT(LOWER(E16),2)="km",VALUE(LEFT(E16,LEN(E16)-2)),IF(LOWER(E16)="race","race",E16)))))</f>
        <v/>
      </c>
    </row>
    <row r="17" ht="15" customHeight="1" s="21">
      <c r="A17" s="32" t="inlineStr">
        <is>
          <t>Hyrox</t>
        </is>
      </c>
      <c r="B17" s="32" t="n">
        <v>4</v>
      </c>
      <c r="C17" s="32" t="inlineStr">
        <is>
          <t>Deload</t>
        </is>
      </c>
      <c r="D17" s="35" t="n">
        <v>0.8</v>
      </c>
      <c r="E17" s="32" t="inlineStr">
        <is>
          <t>auto</t>
        </is>
      </c>
      <c r="F17" s="32" t="inlineStr">
        <is>
          <t>Light</t>
        </is>
      </c>
      <c r="G17" s="32" t="inlineStr">
        <is>
          <t>Lighter week: let the work sink in.</t>
        </is>
      </c>
      <c r="H17" s="33">
        <f>IF(A17="","",COUNTIFS('Run sessions'!$A$2:$A$401,A17,'Run sessions'!$B$2:$B$401,B17))</f>
        <v/>
      </c>
      <c r="I17" s="33">
        <f>IF(OR(A17="",D17=""),"",IFERROR(ROUND(D17*IF(INDEX(Programmes!$L$2:$L$10,MATCH(A17,Programmes!$A$2:$A$10,0))="",INDEX(Programmes!$K$2:$K$10,MATCH(A17,Programmes!$A$2:$A$10,0)),INDEX(Programmes!$L$2:$L$10,MATCH(A17,Programmes!$A$2:$A$10,0))),1),""))</f>
        <v/>
      </c>
      <c r="J17" s="33">
        <f>IF(I17="","",IF(LOWER(E17)="auto",ROUND(I17*Rules!$C$8,1),IF(RIGHT(E17,1)="%",ROUND(I17*VALUE(LEFT(E17,LEN(E17)-1))/100,1),IF(RIGHT(LOWER(E17),2)="km",VALUE(LEFT(E17,LEN(E17)-2)),IF(LOWER(E17)="race","race",E17)))))</f>
        <v/>
      </c>
    </row>
    <row r="18" ht="15" customHeight="1" s="21">
      <c r="A18" s="32" t="inlineStr">
        <is>
          <t>Hyrox</t>
        </is>
      </c>
      <c r="B18" s="32" t="n">
        <v>5</v>
      </c>
      <c r="C18" s="32" t="inlineStr">
        <is>
          <t>Build</t>
        </is>
      </c>
      <c r="D18" s="35" t="n">
        <v>1</v>
      </c>
      <c r="E18" s="32" t="inlineStr">
        <is>
          <t>auto</t>
        </is>
      </c>
      <c r="F18" s="32" t="inlineStr">
        <is>
          <t>Normal</t>
        </is>
      </c>
      <c r="G18" s="32" t="inlineStr">
        <is>
          <t>Station weights move towards race weight.</t>
        </is>
      </c>
      <c r="H18" s="33">
        <f>IF(A18="","",COUNTIFS('Run sessions'!$A$2:$A$401,A18,'Run sessions'!$B$2:$B$401,B18))</f>
        <v/>
      </c>
      <c r="I18" s="33">
        <f>IF(OR(A18="",D18=""),"",IFERROR(ROUND(D18*IF(INDEX(Programmes!$L$2:$L$10,MATCH(A18,Programmes!$A$2:$A$10,0))="",INDEX(Programmes!$K$2:$K$10,MATCH(A18,Programmes!$A$2:$A$10,0)),INDEX(Programmes!$L$2:$L$10,MATCH(A18,Programmes!$A$2:$A$10,0))),1),""))</f>
        <v/>
      </c>
      <c r="J18" s="33">
        <f>IF(I18="","",IF(LOWER(E18)="auto",ROUND(I18*Rules!$C$8,1),IF(RIGHT(E18,1)="%",ROUND(I18*VALUE(LEFT(E18,LEN(E18)-1))/100,1),IF(RIGHT(LOWER(E18),2)="km",VALUE(LEFT(E18,LEN(E18)-2)),IF(LOWER(E18)="race","race",E18)))))</f>
        <v/>
      </c>
    </row>
    <row r="19" ht="15" customHeight="1" s="21">
      <c r="A19" s="32" t="inlineStr">
        <is>
          <t>Hyrox</t>
        </is>
      </c>
      <c r="B19" s="32" t="n">
        <v>6</v>
      </c>
      <c r="C19" s="32" t="inlineStr">
        <is>
          <t>Build</t>
        </is>
      </c>
      <c r="D19" s="35" t="n">
        <v>1.05</v>
      </c>
      <c r="E19" s="32" t="inlineStr">
        <is>
          <t>auto</t>
        </is>
      </c>
      <c r="F19" s="32" t="inlineStr">
        <is>
          <t>Heavy</t>
        </is>
      </c>
      <c r="G19" s="32" t="n"/>
      <c r="H19" s="33">
        <f>IF(A19="","",COUNTIFS('Run sessions'!$A$2:$A$401,A19,'Run sessions'!$B$2:$B$401,B19))</f>
        <v/>
      </c>
      <c r="I19" s="33">
        <f>IF(OR(A19="",D19=""),"",IFERROR(ROUND(D19*IF(INDEX(Programmes!$L$2:$L$10,MATCH(A19,Programmes!$A$2:$A$10,0))="",INDEX(Programmes!$K$2:$K$10,MATCH(A19,Programmes!$A$2:$A$10,0)),INDEX(Programmes!$L$2:$L$10,MATCH(A19,Programmes!$A$2:$A$10,0))),1),""))</f>
        <v/>
      </c>
      <c r="J19" s="33">
        <f>IF(I19="","",IF(LOWER(E19)="auto",ROUND(I19*Rules!$C$8,1),IF(RIGHT(E19,1)="%",ROUND(I19*VALUE(LEFT(E19,LEN(E19)-1))/100,1),IF(RIGHT(LOWER(E19),2)="km",VALUE(LEFT(E19,LEN(E19)-2)),IF(LOWER(E19)="race","race",E19)))))</f>
        <v/>
      </c>
    </row>
    <row r="20" ht="15" customHeight="1" s="21">
      <c r="A20" s="32" t="inlineStr">
        <is>
          <t>Hyrox</t>
        </is>
      </c>
      <c r="B20" s="32" t="n">
        <v>7</v>
      </c>
      <c r="C20" s="32" t="inlineStr">
        <is>
          <t>Build</t>
        </is>
      </c>
      <c r="D20" s="35" t="n">
        <v>1.1</v>
      </c>
      <c r="E20" s="32" t="inlineStr">
        <is>
          <t>auto</t>
        </is>
      </c>
      <c r="F20" s="32" t="inlineStr">
        <is>
          <t>Normal</t>
        </is>
      </c>
      <c r="G20" s="32" t="inlineStr">
        <is>
          <t>First full 8 km of compromised running.</t>
        </is>
      </c>
      <c r="H20" s="33">
        <f>IF(A20="","",COUNTIFS('Run sessions'!$A$2:$A$401,A20,'Run sessions'!$B$2:$B$401,B20))</f>
        <v/>
      </c>
      <c r="I20" s="33">
        <f>IF(OR(A20="",D20=""),"",IFERROR(ROUND(D20*IF(INDEX(Programmes!$L$2:$L$10,MATCH(A20,Programmes!$A$2:$A$10,0))="",INDEX(Programmes!$K$2:$K$10,MATCH(A20,Programmes!$A$2:$A$10,0)),INDEX(Programmes!$L$2:$L$10,MATCH(A20,Programmes!$A$2:$A$10,0))),1),""))</f>
        <v/>
      </c>
      <c r="J20" s="33">
        <f>IF(I20="","",IF(LOWER(E20)="auto",ROUND(I20*Rules!$C$8,1),IF(RIGHT(E20,1)="%",ROUND(I20*VALUE(LEFT(E20,LEN(E20)-1))/100,1),IF(RIGHT(LOWER(E20),2)="km",VALUE(LEFT(E20,LEN(E20)-2)),IF(LOWER(E20)="race","race",E20)))))</f>
        <v/>
      </c>
    </row>
    <row r="21" ht="15" customHeight="1" s="21">
      <c r="A21" s="32" t="inlineStr">
        <is>
          <t>Hyrox</t>
        </is>
      </c>
      <c r="B21" s="32" t="n">
        <v>8</v>
      </c>
      <c r="C21" s="32" t="inlineStr">
        <is>
          <t>Deload</t>
        </is>
      </c>
      <c r="D21" s="35" t="n">
        <v>0.9</v>
      </c>
      <c r="E21" s="32" t="inlineStr">
        <is>
          <t>auto</t>
        </is>
      </c>
      <c r="F21" s="32" t="inlineStr">
        <is>
          <t>Light</t>
        </is>
      </c>
      <c r="G21" s="32" t="inlineStr">
        <is>
          <t>Lighter week before the race block.</t>
        </is>
      </c>
      <c r="H21" s="33">
        <f>IF(A21="","",COUNTIFS('Run sessions'!$A$2:$A$401,A21,'Run sessions'!$B$2:$B$401,B21))</f>
        <v/>
      </c>
      <c r="I21" s="33">
        <f>IF(OR(A21="",D21=""),"",IFERROR(ROUND(D21*IF(INDEX(Programmes!$L$2:$L$10,MATCH(A21,Programmes!$A$2:$A$10,0))="",INDEX(Programmes!$K$2:$K$10,MATCH(A21,Programmes!$A$2:$A$10,0)),INDEX(Programmes!$L$2:$L$10,MATCH(A21,Programmes!$A$2:$A$10,0))),1),""))</f>
        <v/>
      </c>
      <c r="J21" s="33">
        <f>IF(I21="","",IF(LOWER(E21)="auto",ROUND(I21*Rules!$C$8,1),IF(RIGHT(E21,1)="%",ROUND(I21*VALUE(LEFT(E21,LEN(E21)-1))/100,1),IF(RIGHT(LOWER(E21),2)="km",VALUE(LEFT(E21,LEN(E21)-2)),IF(LOWER(E21)="race","race",E21)))))</f>
        <v/>
      </c>
    </row>
    <row r="22" ht="15" customHeight="1" s="21">
      <c r="A22" s="32" t="inlineStr">
        <is>
          <t>Hyrox</t>
        </is>
      </c>
      <c r="B22" s="32" t="n">
        <v>9</v>
      </c>
      <c r="C22" s="32" t="inlineStr">
        <is>
          <t>Peak</t>
        </is>
      </c>
      <c r="D22" s="35" t="n">
        <v>1.1</v>
      </c>
      <c r="E22" s="32" t="inlineStr">
        <is>
          <t>auto</t>
        </is>
      </c>
      <c r="F22" s="32" t="inlineStr">
        <is>
          <t>Normal</t>
        </is>
      </c>
      <c r="G22" s="32" t="inlineStr">
        <is>
          <t>Race simulation: run it like race day, all eight stations.</t>
        </is>
      </c>
      <c r="H22" s="33">
        <f>IF(A22="","",COUNTIFS('Run sessions'!$A$2:$A$401,A22,'Run sessions'!$B$2:$B$401,B22))</f>
        <v/>
      </c>
      <c r="I22" s="33">
        <f>IF(OR(A22="",D22=""),"",IFERROR(ROUND(D22*IF(INDEX(Programmes!$L$2:$L$10,MATCH(A22,Programmes!$A$2:$A$10,0))="",INDEX(Programmes!$K$2:$K$10,MATCH(A22,Programmes!$A$2:$A$10,0)),INDEX(Programmes!$L$2:$L$10,MATCH(A22,Programmes!$A$2:$A$10,0))),1),""))</f>
        <v/>
      </c>
      <c r="J22" s="33">
        <f>IF(I22="","",IF(LOWER(E22)="auto",ROUND(I22*Rules!$C$8,1),IF(RIGHT(E22,1)="%",ROUND(I22*VALUE(LEFT(E22,LEN(E22)-1))/100,1),IF(RIGHT(LOWER(E22),2)="km",VALUE(LEFT(E22,LEN(E22)-2)),IF(LOWER(E22)="race","race",E22)))))</f>
        <v/>
      </c>
    </row>
    <row r="23" ht="15" customHeight="1" s="21">
      <c r="A23" s="32" t="inlineStr">
        <is>
          <t>Hyrox</t>
        </is>
      </c>
      <c r="B23" s="32" t="n">
        <v>10</v>
      </c>
      <c r="C23" s="32" t="inlineStr">
        <is>
          <t>Peak</t>
        </is>
      </c>
      <c r="D23" s="35" t="n">
        <v>1.1</v>
      </c>
      <c r="E23" s="32" t="inlineStr">
        <is>
          <t>auto</t>
        </is>
      </c>
      <c r="F23" s="32" t="inlineStr">
        <is>
          <t>Normal</t>
        </is>
      </c>
      <c r="G23" s="32" t="inlineStr">
        <is>
          <t>Biggest week.</t>
        </is>
      </c>
      <c r="H23" s="33">
        <f>IF(A23="","",COUNTIFS('Run sessions'!$A$2:$A$401,A23,'Run sessions'!$B$2:$B$401,B23))</f>
        <v/>
      </c>
      <c r="I23" s="33">
        <f>IF(OR(A23="",D23=""),"",IFERROR(ROUND(D23*IF(INDEX(Programmes!$L$2:$L$10,MATCH(A23,Programmes!$A$2:$A$10,0))="",INDEX(Programmes!$K$2:$K$10,MATCH(A23,Programmes!$A$2:$A$10,0)),INDEX(Programmes!$L$2:$L$10,MATCH(A23,Programmes!$A$2:$A$10,0))),1),""))</f>
        <v/>
      </c>
      <c r="J23" s="33">
        <f>IF(I23="","",IF(LOWER(E23)="auto",ROUND(I23*Rules!$C$8,1),IF(RIGHT(E23,1)="%",ROUND(I23*VALUE(LEFT(E23,LEN(E23)-1))/100,1),IF(RIGHT(LOWER(E23),2)="km",VALUE(LEFT(E23,LEN(E23)-2)),IF(LOWER(E23)="race","race",E23)))))</f>
        <v/>
      </c>
    </row>
    <row r="24" ht="15" customHeight="1" s="21">
      <c r="A24" s="32" t="inlineStr">
        <is>
          <t>Hyrox</t>
        </is>
      </c>
      <c r="B24" s="32" t="n">
        <v>11</v>
      </c>
      <c r="C24" s="32" t="inlineStr">
        <is>
          <t>Taper</t>
        </is>
      </c>
      <c r="D24" s="35" t="n">
        <v>0.8</v>
      </c>
      <c r="E24" s="32" t="inlineStr">
        <is>
          <t>auto</t>
        </is>
      </c>
      <c r="F24" s="32" t="inlineStr">
        <is>
          <t>Light</t>
        </is>
      </c>
      <c r="G24" s="32" t="inlineStr">
        <is>
          <t>Freshen up: shorter, sharper sessions.</t>
        </is>
      </c>
      <c r="H24" s="33">
        <f>IF(A24="","",COUNTIFS('Run sessions'!$A$2:$A$401,A24,'Run sessions'!$B$2:$B$401,B24))</f>
        <v/>
      </c>
      <c r="I24" s="33">
        <f>IF(OR(A24="",D24=""),"",IFERROR(ROUND(D24*IF(INDEX(Programmes!$L$2:$L$10,MATCH(A24,Programmes!$A$2:$A$10,0))="",INDEX(Programmes!$K$2:$K$10,MATCH(A24,Programmes!$A$2:$A$10,0)),INDEX(Programmes!$L$2:$L$10,MATCH(A24,Programmes!$A$2:$A$10,0))),1),""))</f>
        <v/>
      </c>
      <c r="J24" s="33">
        <f>IF(I24="","",IF(LOWER(E24)="auto",ROUND(I24*Rules!$C$8,1),IF(RIGHT(E24,1)="%",ROUND(I24*VALUE(LEFT(E24,LEN(E24)-1))/100,1),IF(RIGHT(LOWER(E24),2)="km",VALUE(LEFT(E24,LEN(E24)-2)),IF(LOWER(E24)="race","race",E24)))))</f>
        <v/>
      </c>
    </row>
    <row r="25" ht="15" customHeight="1" s="21">
      <c r="A25" s="32" t="inlineStr">
        <is>
          <t>Hyrox</t>
        </is>
      </c>
      <c r="B25" s="32" t="n">
        <v>12</v>
      </c>
      <c r="C25" s="32" t="inlineStr">
        <is>
          <t>Race week</t>
        </is>
      </c>
      <c r="D25" s="35" t="n">
        <v>0.5</v>
      </c>
      <c r="E25" s="32" t="inlineStr">
        <is>
          <t>Race</t>
        </is>
      </c>
      <c r="F25" s="32" t="inlineStr">
        <is>
          <t>None</t>
        </is>
      </c>
      <c r="G25" s="32" t="inlineStr">
        <is>
          <t>Race day! Pace the first kilometre.</t>
        </is>
      </c>
      <c r="H25" s="33">
        <f>IF(A25="","",COUNTIFS('Run sessions'!$A$2:$A$401,A25,'Run sessions'!$B$2:$B$401,B25))</f>
        <v/>
      </c>
      <c r="I25" s="33">
        <f>IF(OR(A25="",D25=""),"",IFERROR(ROUND(D25*IF(INDEX(Programmes!$L$2:$L$10,MATCH(A25,Programmes!$A$2:$A$10,0))="",INDEX(Programmes!$K$2:$K$10,MATCH(A25,Programmes!$A$2:$A$10,0)),INDEX(Programmes!$L$2:$L$10,MATCH(A25,Programmes!$A$2:$A$10,0))),1),""))</f>
        <v/>
      </c>
      <c r="J25" s="33">
        <f>IF(I25="","",IF(LOWER(E25)="auto",ROUND(I25*Rules!$C$8,1),IF(RIGHT(E25,1)="%",ROUND(I25*VALUE(LEFT(E25,LEN(E25)-1))/100,1),IF(RIGHT(LOWER(E25),2)="km",VALUE(LEFT(E25,LEN(E25)-2)),IF(LOWER(E25)="race","race",E25)))))</f>
        <v/>
      </c>
    </row>
    <row r="26" ht="15" customHeight="1" s="21">
      <c r="A26" s="32" t="inlineStr">
        <is>
          <t>Faster 10K</t>
        </is>
      </c>
      <c r="B26" s="32" t="n">
        <v>1</v>
      </c>
      <c r="C26" s="32" t="inlineStr">
        <is>
          <t>Base</t>
        </is>
      </c>
      <c r="D26" s="35" t="n">
        <v>1</v>
      </c>
      <c r="E26" s="32" t="inlineStr">
        <is>
          <t>auto</t>
        </is>
      </c>
      <c r="F26" s="32" t="inlineStr">
        <is>
          <t>Normal</t>
        </is>
      </c>
      <c r="G26" s="32" t="inlineStr">
        <is>
          <t>Settle in: one quality session, the rest easy.</t>
        </is>
      </c>
      <c r="H26" s="33">
        <f>IF(A26="","",COUNTIFS('Run sessions'!$A$2:$A$401,A26,'Run sessions'!$B$2:$B$401,B26))</f>
        <v/>
      </c>
      <c r="I26" s="33">
        <f>IF(OR(A26="",D26=""),"",IFERROR(ROUND(D26*IF(INDEX(Programmes!$L$2:$L$10,MATCH(A26,Programmes!$A$2:$A$10,0))="",INDEX(Programmes!$K$2:$K$10,MATCH(A26,Programmes!$A$2:$A$10,0)),INDEX(Programmes!$L$2:$L$10,MATCH(A26,Programmes!$A$2:$A$10,0))),1),""))</f>
        <v/>
      </c>
      <c r="J26" s="33">
        <f>IF(I26="","",IF(LOWER(E26)="auto",ROUND(I26*Rules!$C$8,1),IF(RIGHT(E26,1)="%",ROUND(I26*VALUE(LEFT(E26,LEN(E26)-1))/100,1),IF(RIGHT(LOWER(E26),2)="km",VALUE(LEFT(E26,LEN(E26)-2)),IF(LOWER(E26)="race","race",E26)))))</f>
        <v/>
      </c>
    </row>
    <row r="27" ht="15" customHeight="1" s="21">
      <c r="A27" s="32" t="inlineStr">
        <is>
          <t>Faster 10K</t>
        </is>
      </c>
      <c r="B27" s="32" t="n">
        <v>2</v>
      </c>
      <c r="C27" s="32" t="inlineStr">
        <is>
          <t>Base</t>
        </is>
      </c>
      <c r="D27" s="35" t="n">
        <v>1.05</v>
      </c>
      <c r="E27" s="32" t="inlineStr">
        <is>
          <t>auto</t>
        </is>
      </c>
      <c r="F27" s="32" t="inlineStr">
        <is>
          <t>Normal</t>
        </is>
      </c>
      <c r="G27" s="32" t="n"/>
      <c r="H27" s="33">
        <f>IF(A27="","",COUNTIFS('Run sessions'!$A$2:$A$401,A27,'Run sessions'!$B$2:$B$401,B27))</f>
        <v/>
      </c>
      <c r="I27" s="33">
        <f>IF(OR(A27="",D27=""),"",IFERROR(ROUND(D27*IF(INDEX(Programmes!$L$2:$L$10,MATCH(A27,Programmes!$A$2:$A$10,0))="",INDEX(Programmes!$K$2:$K$10,MATCH(A27,Programmes!$A$2:$A$10,0)),INDEX(Programmes!$L$2:$L$10,MATCH(A27,Programmes!$A$2:$A$10,0))),1),""))</f>
        <v/>
      </c>
      <c r="J27" s="33">
        <f>IF(I27="","",IF(LOWER(E27)="auto",ROUND(I27*Rules!$C$8,1),IF(RIGHT(E27,1)="%",ROUND(I27*VALUE(LEFT(E27,LEN(E27)-1))/100,1),IF(RIGHT(LOWER(E27),2)="km",VALUE(LEFT(E27,LEN(E27)-2)),IF(LOWER(E27)="race","race",E27)))))</f>
        <v/>
      </c>
    </row>
    <row r="28" ht="15" customHeight="1" s="21">
      <c r="A28" s="32" t="inlineStr">
        <is>
          <t>Faster 10K</t>
        </is>
      </c>
      <c r="B28" s="32" t="n">
        <v>3</v>
      </c>
      <c r="C28" s="32" t="inlineStr">
        <is>
          <t>Base</t>
        </is>
      </c>
      <c r="D28" s="35" t="n">
        <v>1.1</v>
      </c>
      <c r="E28" s="32" t="inlineStr">
        <is>
          <t>auto</t>
        </is>
      </c>
      <c r="F28" s="32" t="inlineStr">
        <is>
          <t>Heavy</t>
        </is>
      </c>
      <c r="G28" s="32" t="n"/>
      <c r="H28" s="33">
        <f>IF(A28="","",COUNTIFS('Run sessions'!$A$2:$A$401,A28,'Run sessions'!$B$2:$B$401,B28))</f>
        <v/>
      </c>
      <c r="I28" s="33">
        <f>IF(OR(A28="",D28=""),"",IFERROR(ROUND(D28*IF(INDEX(Programmes!$L$2:$L$10,MATCH(A28,Programmes!$A$2:$A$10,0))="",INDEX(Programmes!$K$2:$K$10,MATCH(A28,Programmes!$A$2:$A$10,0)),INDEX(Programmes!$L$2:$L$10,MATCH(A28,Programmes!$A$2:$A$10,0))),1),""))</f>
        <v/>
      </c>
      <c r="J28" s="33">
        <f>IF(I28="","",IF(LOWER(E28)="auto",ROUND(I28*Rules!$C$8,1),IF(RIGHT(E28,1)="%",ROUND(I28*VALUE(LEFT(E28,LEN(E28)-1))/100,1),IF(RIGHT(LOWER(E28),2)="km",VALUE(LEFT(E28,LEN(E28)-2)),IF(LOWER(E28)="race","race",E28)))))</f>
        <v/>
      </c>
    </row>
    <row r="29" ht="15" customHeight="1" s="21">
      <c r="A29" s="32" t="inlineStr">
        <is>
          <t>Faster 10K</t>
        </is>
      </c>
      <c r="B29" s="32" t="n">
        <v>4</v>
      </c>
      <c r="C29" s="32" t="inlineStr">
        <is>
          <t>Deload</t>
        </is>
      </c>
      <c r="D29" s="35" t="n">
        <v>0.9</v>
      </c>
      <c r="E29" s="32" t="inlineStr">
        <is>
          <t>auto</t>
        </is>
      </c>
      <c r="F29" s="32" t="inlineStr">
        <is>
          <t>Light</t>
        </is>
      </c>
      <c r="G29" s="32" t="inlineStr">
        <is>
          <t>Lighter week: let the work sink in.</t>
        </is>
      </c>
      <c r="H29" s="33">
        <f>IF(A29="","",COUNTIFS('Run sessions'!$A$2:$A$401,A29,'Run sessions'!$B$2:$B$401,B29))</f>
        <v/>
      </c>
      <c r="I29" s="33">
        <f>IF(OR(A29="",D29=""),"",IFERROR(ROUND(D29*IF(INDEX(Programmes!$L$2:$L$10,MATCH(A29,Programmes!$A$2:$A$10,0))="",INDEX(Programmes!$K$2:$K$10,MATCH(A29,Programmes!$A$2:$A$10,0)),INDEX(Programmes!$L$2:$L$10,MATCH(A29,Programmes!$A$2:$A$10,0))),1),""))</f>
        <v/>
      </c>
      <c r="J29" s="33">
        <f>IF(I29="","",IF(LOWER(E29)="auto",ROUND(I29*Rules!$C$8,1),IF(RIGHT(E29,1)="%",ROUND(I29*VALUE(LEFT(E29,LEN(E29)-1))/100,1),IF(RIGHT(LOWER(E29),2)="km",VALUE(LEFT(E29,LEN(E29)-2)),IF(LOWER(E29)="race","race",E29)))))</f>
        <v/>
      </c>
    </row>
    <row r="30" ht="15" customHeight="1" s="21">
      <c r="A30" s="32" t="inlineStr">
        <is>
          <t>Faster 10K</t>
        </is>
      </c>
      <c r="B30" s="32" t="n">
        <v>5</v>
      </c>
      <c r="C30" s="32" t="inlineStr">
        <is>
          <t>Build</t>
        </is>
      </c>
      <c r="D30" s="35" t="n">
        <v>1.1</v>
      </c>
      <c r="E30" s="32" t="inlineStr">
        <is>
          <t>auto</t>
        </is>
      </c>
      <c r="F30" s="32" t="inlineStr">
        <is>
          <t>Normal</t>
        </is>
      </c>
      <c r="G30" s="32" t="n"/>
      <c r="H30" s="33">
        <f>IF(A30="","",COUNTIFS('Run sessions'!$A$2:$A$401,A30,'Run sessions'!$B$2:$B$401,B30))</f>
        <v/>
      </c>
      <c r="I30" s="33">
        <f>IF(OR(A30="",D30=""),"",IFERROR(ROUND(D30*IF(INDEX(Programmes!$L$2:$L$10,MATCH(A30,Programmes!$A$2:$A$10,0))="",INDEX(Programmes!$K$2:$K$10,MATCH(A30,Programmes!$A$2:$A$10,0)),INDEX(Programmes!$L$2:$L$10,MATCH(A30,Programmes!$A$2:$A$10,0))),1),""))</f>
        <v/>
      </c>
      <c r="J30" s="33">
        <f>IF(I30="","",IF(LOWER(E30)="auto",ROUND(I30*Rules!$C$8,1),IF(RIGHT(E30,1)="%",ROUND(I30*VALUE(LEFT(E30,LEN(E30)-1))/100,1),IF(RIGHT(LOWER(E30),2)="km",VALUE(LEFT(E30,LEN(E30)-2)),IF(LOWER(E30)="race","race",E30)))))</f>
        <v/>
      </c>
    </row>
    <row r="31" ht="15" customHeight="1" s="21">
      <c r="A31" s="32" t="inlineStr">
        <is>
          <t>Faster 10K</t>
        </is>
      </c>
      <c r="B31" s="32" t="n">
        <v>6</v>
      </c>
      <c r="C31" s="32" t="inlineStr">
        <is>
          <t>Build</t>
        </is>
      </c>
      <c r="D31" s="35" t="n">
        <v>1.15</v>
      </c>
      <c r="E31" s="32" t="inlineStr">
        <is>
          <t>auto</t>
        </is>
      </c>
      <c r="F31" s="32" t="inlineStr">
        <is>
          <t>Heavy</t>
        </is>
      </c>
      <c r="G31" s="32" t="n"/>
      <c r="H31" s="33">
        <f>IF(A31="","",COUNTIFS('Run sessions'!$A$2:$A$401,A31,'Run sessions'!$B$2:$B$401,B31))</f>
        <v/>
      </c>
      <c r="I31" s="33">
        <f>IF(OR(A31="",D31=""),"",IFERROR(ROUND(D31*IF(INDEX(Programmes!$L$2:$L$10,MATCH(A31,Programmes!$A$2:$A$10,0))="",INDEX(Programmes!$K$2:$K$10,MATCH(A31,Programmes!$A$2:$A$10,0)),INDEX(Programmes!$L$2:$L$10,MATCH(A31,Programmes!$A$2:$A$10,0))),1),""))</f>
        <v/>
      </c>
      <c r="J31" s="33">
        <f>IF(I31="","",IF(LOWER(E31)="auto",ROUND(I31*Rules!$C$8,1),IF(RIGHT(E31,1)="%",ROUND(I31*VALUE(LEFT(E31,LEN(E31)-1))/100,1),IF(RIGHT(LOWER(E31),2)="km",VALUE(LEFT(E31,LEN(E31)-2)),IF(LOWER(E31)="race","race",E31)))))</f>
        <v/>
      </c>
    </row>
    <row r="32" ht="15" customHeight="1" s="21">
      <c r="A32" s="32" t="inlineStr">
        <is>
          <t>Faster 10K</t>
        </is>
      </c>
      <c r="B32" s="32" t="n">
        <v>7</v>
      </c>
      <c r="C32" s="32" t="inlineStr">
        <is>
          <t>Build</t>
        </is>
      </c>
      <c r="D32" s="35" t="n">
        <v>1.2</v>
      </c>
      <c r="E32" s="32" t="inlineStr">
        <is>
          <t>auto</t>
        </is>
      </c>
      <c r="F32" s="32" t="inlineStr">
        <is>
          <t>Normal</t>
        </is>
      </c>
      <c r="G32" s="32" t="n"/>
      <c r="H32" s="33">
        <f>IF(A32="","",COUNTIFS('Run sessions'!$A$2:$A$401,A32,'Run sessions'!$B$2:$B$401,B32))</f>
        <v/>
      </c>
      <c r="I32" s="33">
        <f>IF(OR(A32="",D32=""),"",IFERROR(ROUND(D32*IF(INDEX(Programmes!$L$2:$L$10,MATCH(A32,Programmes!$A$2:$A$10,0))="",INDEX(Programmes!$K$2:$K$10,MATCH(A32,Programmes!$A$2:$A$10,0)),INDEX(Programmes!$L$2:$L$10,MATCH(A32,Programmes!$A$2:$A$10,0))),1),""))</f>
        <v/>
      </c>
      <c r="J32" s="33">
        <f>IF(I32="","",IF(LOWER(E32)="auto",ROUND(I32*Rules!$C$8,1),IF(RIGHT(E32,1)="%",ROUND(I32*VALUE(LEFT(E32,LEN(E32)-1))/100,1),IF(RIGHT(LOWER(E32),2)="km",VALUE(LEFT(E32,LEN(E32)-2)),IF(LOWER(E32)="race","race",E32)))))</f>
        <v/>
      </c>
    </row>
    <row r="33" ht="15" customHeight="1" s="21">
      <c r="A33" s="32" t="inlineStr">
        <is>
          <t>Faster 10K</t>
        </is>
      </c>
      <c r="B33" s="32" t="n">
        <v>8</v>
      </c>
      <c r="C33" s="32" t="inlineStr">
        <is>
          <t>Deload</t>
        </is>
      </c>
      <c r="D33" s="35" t="n">
        <v>0.95</v>
      </c>
      <c r="E33" s="32" t="inlineStr">
        <is>
          <t>auto</t>
        </is>
      </c>
      <c r="F33" s="32" t="inlineStr">
        <is>
          <t>Light</t>
        </is>
      </c>
      <c r="G33" s="32" t="inlineStr">
        <is>
          <t>Lighter week before the peak.</t>
        </is>
      </c>
      <c r="H33" s="33">
        <f>IF(A33="","",COUNTIFS('Run sessions'!$A$2:$A$401,A33,'Run sessions'!$B$2:$B$401,B33))</f>
        <v/>
      </c>
      <c r="I33" s="33">
        <f>IF(OR(A33="",D33=""),"",IFERROR(ROUND(D33*IF(INDEX(Programmes!$L$2:$L$10,MATCH(A33,Programmes!$A$2:$A$10,0))="",INDEX(Programmes!$K$2:$K$10,MATCH(A33,Programmes!$A$2:$A$10,0)),INDEX(Programmes!$L$2:$L$10,MATCH(A33,Programmes!$A$2:$A$10,0))),1),""))</f>
        <v/>
      </c>
      <c r="J33" s="33">
        <f>IF(I33="","",IF(LOWER(E33)="auto",ROUND(I33*Rules!$C$8,1),IF(RIGHT(E33,1)="%",ROUND(I33*VALUE(LEFT(E33,LEN(E33)-1))/100,1),IF(RIGHT(LOWER(E33),2)="km",VALUE(LEFT(E33,LEN(E33)-2)),IF(LOWER(E33)="race","race",E33)))))</f>
        <v/>
      </c>
    </row>
    <row r="34" ht="15" customHeight="1" s="21">
      <c r="A34" s="32" t="inlineStr">
        <is>
          <t>Faster 10K</t>
        </is>
      </c>
      <c r="B34" s="32" t="n">
        <v>9</v>
      </c>
      <c r="C34" s="32" t="inlineStr">
        <is>
          <t>Peak</t>
        </is>
      </c>
      <c r="D34" s="35" t="n">
        <v>1.25</v>
      </c>
      <c r="E34" s="32" t="inlineStr">
        <is>
          <t>auto</t>
        </is>
      </c>
      <c r="F34" s="32" t="inlineStr">
        <is>
          <t>Normal</t>
        </is>
      </c>
      <c r="G34" s="32" t="inlineStr">
        <is>
          <t>Biggest week.</t>
        </is>
      </c>
      <c r="H34" s="33">
        <f>IF(A34="","",COUNTIFS('Run sessions'!$A$2:$A$401,A34,'Run sessions'!$B$2:$B$401,B34))</f>
        <v/>
      </c>
      <c r="I34" s="33">
        <f>IF(OR(A34="",D34=""),"",IFERROR(ROUND(D34*IF(INDEX(Programmes!$L$2:$L$10,MATCH(A34,Programmes!$A$2:$A$10,0))="",INDEX(Programmes!$K$2:$K$10,MATCH(A34,Programmes!$A$2:$A$10,0)),INDEX(Programmes!$L$2:$L$10,MATCH(A34,Programmes!$A$2:$A$10,0))),1),""))</f>
        <v/>
      </c>
      <c r="J34" s="33">
        <f>IF(I34="","",IF(LOWER(E34)="auto",ROUND(I34*Rules!$C$8,1),IF(RIGHT(E34,1)="%",ROUND(I34*VALUE(LEFT(E34,LEN(E34)-1))/100,1),IF(RIGHT(LOWER(E34),2)="km",VALUE(LEFT(E34,LEN(E34)-2)),IF(LOWER(E34)="race","race",E34)))))</f>
        <v/>
      </c>
    </row>
    <row r="35" ht="15" customHeight="1" s="21">
      <c r="A35" s="32" t="inlineStr">
        <is>
          <t>Faster 10K</t>
        </is>
      </c>
      <c r="B35" s="32" t="n">
        <v>10</v>
      </c>
      <c r="C35" s="32" t="inlineStr">
        <is>
          <t>Peak</t>
        </is>
      </c>
      <c r="D35" s="35" t="n">
        <v>1.25</v>
      </c>
      <c r="E35" s="32" t="inlineStr">
        <is>
          <t>auto</t>
        </is>
      </c>
      <c r="F35" s="32" t="inlineStr">
        <is>
          <t>Normal</t>
        </is>
      </c>
      <c r="G35" s="32" t="n"/>
      <c r="H35" s="33">
        <f>IF(A35="","",COUNTIFS('Run sessions'!$A$2:$A$401,A35,'Run sessions'!$B$2:$B$401,B35))</f>
        <v/>
      </c>
      <c r="I35" s="33">
        <f>IF(OR(A35="",D35=""),"",IFERROR(ROUND(D35*IF(INDEX(Programmes!$L$2:$L$10,MATCH(A35,Programmes!$A$2:$A$10,0))="",INDEX(Programmes!$K$2:$K$10,MATCH(A35,Programmes!$A$2:$A$10,0)),INDEX(Programmes!$L$2:$L$10,MATCH(A35,Programmes!$A$2:$A$10,0))),1),""))</f>
        <v/>
      </c>
      <c r="J35" s="33">
        <f>IF(I35="","",IF(LOWER(E35)="auto",ROUND(I35*Rules!$C$8,1),IF(RIGHT(E35,1)="%",ROUND(I35*VALUE(LEFT(E35,LEN(E35)-1))/100,1),IF(RIGHT(LOWER(E35),2)="km",VALUE(LEFT(E35,LEN(E35)-2)),IF(LOWER(E35)="race","race",E35)))))</f>
        <v/>
      </c>
    </row>
    <row r="36" ht="15" customHeight="1" s="21">
      <c r="A36" s="32" t="inlineStr">
        <is>
          <t>Faster 10K</t>
        </is>
      </c>
      <c r="B36" s="32" t="n">
        <v>11</v>
      </c>
      <c r="C36" s="32" t="inlineStr">
        <is>
          <t>Taper</t>
        </is>
      </c>
      <c r="D36" s="35" t="n">
        <v>0.85</v>
      </c>
      <c r="E36" s="32" t="inlineStr">
        <is>
          <t>auto</t>
        </is>
      </c>
      <c r="F36" s="32" t="inlineStr">
        <is>
          <t>Light</t>
        </is>
      </c>
      <c r="G36" s="32" t="inlineStr">
        <is>
          <t>Freshen up.</t>
        </is>
      </c>
      <c r="H36" s="33">
        <f>IF(A36="","",COUNTIFS('Run sessions'!$A$2:$A$401,A36,'Run sessions'!$B$2:$B$401,B36))</f>
        <v/>
      </c>
      <c r="I36" s="33">
        <f>IF(OR(A36="",D36=""),"",IFERROR(ROUND(D36*IF(INDEX(Programmes!$L$2:$L$10,MATCH(A36,Programmes!$A$2:$A$10,0))="",INDEX(Programmes!$K$2:$K$10,MATCH(A36,Programmes!$A$2:$A$10,0)),INDEX(Programmes!$L$2:$L$10,MATCH(A36,Programmes!$A$2:$A$10,0))),1),""))</f>
        <v/>
      </c>
      <c r="J36" s="33">
        <f>IF(I36="","",IF(LOWER(E36)="auto",ROUND(I36*Rules!$C$8,1),IF(RIGHT(E36,1)="%",ROUND(I36*VALUE(LEFT(E36,LEN(E36)-1))/100,1),IF(RIGHT(LOWER(E36),2)="km",VALUE(LEFT(E36,LEN(E36)-2)),IF(LOWER(E36)="race","race",E36)))))</f>
        <v/>
      </c>
    </row>
    <row r="37" ht="15" customHeight="1" s="21">
      <c r="A37" s="32" t="inlineStr">
        <is>
          <t>Faster 10K</t>
        </is>
      </c>
      <c r="B37" s="32" t="n">
        <v>12</v>
      </c>
      <c r="C37" s="32" t="inlineStr">
        <is>
          <t>Race week</t>
        </is>
      </c>
      <c r="D37" s="35" t="n">
        <v>0.55</v>
      </c>
      <c r="E37" s="32" t="inlineStr">
        <is>
          <t>Race</t>
        </is>
      </c>
      <c r="F37" s="32" t="inlineStr">
        <is>
          <t>None</t>
        </is>
      </c>
      <c r="G37" s="32" t="inlineStr">
        <is>
          <t>Race day!</t>
        </is>
      </c>
      <c r="H37" s="33">
        <f>IF(A37="","",COUNTIFS('Run sessions'!$A$2:$A$401,A37,'Run sessions'!$B$2:$B$401,B37))</f>
        <v/>
      </c>
      <c r="I37" s="33">
        <f>IF(OR(A37="",D37=""),"",IFERROR(ROUND(D37*IF(INDEX(Programmes!$L$2:$L$10,MATCH(A37,Programmes!$A$2:$A$10,0))="",INDEX(Programmes!$K$2:$K$10,MATCH(A37,Programmes!$A$2:$A$10,0)),INDEX(Programmes!$L$2:$L$10,MATCH(A37,Programmes!$A$2:$A$10,0))),1),""))</f>
        <v/>
      </c>
      <c r="J37" s="33">
        <f>IF(I37="","",IF(LOWER(E37)="auto",ROUND(I37*Rules!$C$8,1),IF(RIGHT(E37,1)="%",ROUND(I37*VALUE(LEFT(E37,LEN(E37)-1))/100,1),IF(RIGHT(LOWER(E37),2)="km",VALUE(LEFT(E37,LEN(E37)-2)),IF(LOWER(E37)="race","race",E37)))))</f>
        <v/>
      </c>
    </row>
    <row r="38" ht="15" customHeight="1" s="21">
      <c r="A38" s="32" t="inlineStr">
        <is>
          <t>Marathon</t>
        </is>
      </c>
      <c r="B38" s="32" t="n">
        <v>1</v>
      </c>
      <c r="C38" s="32" t="inlineStr">
        <is>
          <t>Base</t>
        </is>
      </c>
      <c r="D38" s="35" t="n">
        <v>1</v>
      </c>
      <c r="E38" s="32" t="inlineStr">
        <is>
          <t>auto</t>
        </is>
      </c>
      <c r="F38" s="32" t="inlineStr">
        <is>
          <t>Normal</t>
        </is>
      </c>
      <c r="G38" s="32" t="inlineStr">
        <is>
          <t>Settle in: one threshold session and an M-pace progression, everything else easy.</t>
        </is>
      </c>
      <c r="H38" s="33">
        <f>IF(A38="","",COUNTIFS('Run sessions'!$A$2:$A$401,A38,'Run sessions'!$B$2:$B$401,B38))</f>
        <v/>
      </c>
      <c r="I38" s="33">
        <f>IF(OR(A38="",D38=""),"",IFERROR(ROUND(D38*IF(INDEX(Programmes!$L$2:$L$10,MATCH(A38,Programmes!$A$2:$A$10,0))="",INDEX(Programmes!$K$2:$K$10,MATCH(A38,Programmes!$A$2:$A$10,0)),INDEX(Programmes!$L$2:$L$10,MATCH(A38,Programmes!$A$2:$A$10,0))),1),""))</f>
        <v/>
      </c>
      <c r="J38" s="33">
        <f>IF(I38="","",IF(LOWER(E38)="auto",ROUND(I38*Rules!$C$8,1),IF(RIGHT(E38,1)="%",ROUND(I38*VALUE(LEFT(E38,LEN(E38)-1))/100,1),IF(RIGHT(LOWER(E38),2)="km",VALUE(LEFT(E38,LEN(E38)-2)),IF(LOWER(E38)="race","race",E38)))))</f>
        <v/>
      </c>
    </row>
    <row r="39" ht="15" customHeight="1" s="21">
      <c r="A39" s="32" t="inlineStr">
        <is>
          <t>Marathon</t>
        </is>
      </c>
      <c r="B39" s="32" t="n">
        <v>2</v>
      </c>
      <c r="C39" s="32" t="inlineStr">
        <is>
          <t>Base</t>
        </is>
      </c>
      <c r="D39" s="35" t="n">
        <v>1.05</v>
      </c>
      <c r="E39" s="32" t="inlineStr">
        <is>
          <t>auto</t>
        </is>
      </c>
      <c r="F39" s="32" t="inlineStr">
        <is>
          <t>Normal</t>
        </is>
      </c>
      <c r="G39" s="32" t="n"/>
      <c r="H39" s="33">
        <f>IF(A39="","",COUNTIFS('Run sessions'!$A$2:$A$401,A39,'Run sessions'!$B$2:$B$401,B39))</f>
        <v/>
      </c>
      <c r="I39" s="33">
        <f>IF(OR(A39="",D39=""),"",IFERROR(ROUND(D39*IF(INDEX(Programmes!$L$2:$L$10,MATCH(A39,Programmes!$A$2:$A$10,0))="",INDEX(Programmes!$K$2:$K$10,MATCH(A39,Programmes!$A$2:$A$10,0)),INDEX(Programmes!$L$2:$L$10,MATCH(A39,Programmes!$A$2:$A$10,0))),1),""))</f>
        <v/>
      </c>
      <c r="J39" s="33">
        <f>IF(I39="","",IF(LOWER(E39)="auto",ROUND(I39*Rules!$C$8,1),IF(RIGHT(E39,1)="%",ROUND(I39*VALUE(LEFT(E39,LEN(E39)-1))/100,1),IF(RIGHT(LOWER(E39),2)="km",VALUE(LEFT(E39,LEN(E39)-2)),IF(LOWER(E39)="race","race",E39)))))</f>
        <v/>
      </c>
    </row>
    <row r="40" ht="15" customHeight="1" s="21">
      <c r="A40" s="32" t="inlineStr">
        <is>
          <t>Marathon</t>
        </is>
      </c>
      <c r="B40" s="32" t="n">
        <v>3</v>
      </c>
      <c r="C40" s="32" t="inlineStr">
        <is>
          <t>Base</t>
        </is>
      </c>
      <c r="D40" s="35" t="n">
        <v>1.1</v>
      </c>
      <c r="E40" s="32" t="inlineStr">
        <is>
          <t>auto</t>
        </is>
      </c>
      <c r="F40" s="32" t="inlineStr">
        <is>
          <t>Normal</t>
        </is>
      </c>
      <c r="G40" s="32" t="n"/>
      <c r="H40" s="33">
        <f>IF(A40="","",COUNTIFS('Run sessions'!$A$2:$A$401,A40,'Run sessions'!$B$2:$B$401,B40))</f>
        <v/>
      </c>
      <c r="I40" s="33">
        <f>IF(OR(A40="",D40=""),"",IFERROR(ROUND(D40*IF(INDEX(Programmes!$L$2:$L$10,MATCH(A40,Programmes!$A$2:$A$10,0))="",INDEX(Programmes!$K$2:$K$10,MATCH(A40,Programmes!$A$2:$A$10,0)),INDEX(Programmes!$L$2:$L$10,MATCH(A40,Programmes!$A$2:$A$10,0))),1),""))</f>
        <v/>
      </c>
      <c r="J40" s="33">
        <f>IF(I40="","",IF(LOWER(E40)="auto",ROUND(I40*Rules!$C$8,1),IF(RIGHT(E40,1)="%",ROUND(I40*VALUE(LEFT(E40,LEN(E40)-1))/100,1),IF(RIGHT(LOWER(E40),2)="km",VALUE(LEFT(E40,LEN(E40)-2)),IF(LOWER(E40)="race","race",E40)))))</f>
        <v/>
      </c>
    </row>
    <row r="41" ht="15" customHeight="1" s="21">
      <c r="A41" s="32" t="inlineStr">
        <is>
          <t>Marathon</t>
        </is>
      </c>
      <c r="B41" s="32" t="n">
        <v>4</v>
      </c>
      <c r="C41" s="32" t="inlineStr">
        <is>
          <t>Deload</t>
        </is>
      </c>
      <c r="D41" s="35" t="n">
        <v>0.9</v>
      </c>
      <c r="E41" s="32" t="inlineStr">
        <is>
          <t>auto</t>
        </is>
      </c>
      <c r="F41" s="32" t="inlineStr">
        <is>
          <t>Light</t>
        </is>
      </c>
      <c r="G41" s="32" t="inlineStr">
        <is>
          <t>Lighter week: let the work sink in.</t>
        </is>
      </c>
      <c r="H41" s="33">
        <f>IF(A41="","",COUNTIFS('Run sessions'!$A$2:$A$401,A41,'Run sessions'!$B$2:$B$401,B41))</f>
        <v/>
      </c>
      <c r="I41" s="33">
        <f>IF(OR(A41="",D41=""),"",IFERROR(ROUND(D41*IF(INDEX(Programmes!$L$2:$L$10,MATCH(A41,Programmes!$A$2:$A$10,0))="",INDEX(Programmes!$K$2:$K$10,MATCH(A41,Programmes!$A$2:$A$10,0)),INDEX(Programmes!$L$2:$L$10,MATCH(A41,Programmes!$A$2:$A$10,0))),1),""))</f>
        <v/>
      </c>
      <c r="J41" s="33">
        <f>IF(I41="","",IF(LOWER(E41)="auto",ROUND(I41*Rules!$C$8,1),IF(RIGHT(E41,1)="%",ROUND(I41*VALUE(LEFT(E41,LEN(E41)-1))/100,1),IF(RIGHT(LOWER(E41),2)="km",VALUE(LEFT(E41,LEN(E41)-2)),IF(LOWER(E41)="race","race",E41)))))</f>
        <v/>
      </c>
    </row>
    <row r="42" ht="15" customHeight="1" s="21">
      <c r="A42" s="32" t="inlineStr">
        <is>
          <t>Marathon</t>
        </is>
      </c>
      <c r="B42" s="32" t="n">
        <v>5</v>
      </c>
      <c r="C42" s="32" t="inlineStr">
        <is>
          <t>Build</t>
        </is>
      </c>
      <c r="D42" s="35" t="n">
        <v>1.1</v>
      </c>
      <c r="E42" s="32" t="inlineStr">
        <is>
          <t>auto</t>
        </is>
      </c>
      <c r="F42" s="32" t="inlineStr">
        <is>
          <t>Normal</t>
        </is>
      </c>
      <c r="G42" s="32" t="inlineStr">
        <is>
          <t>Marathon pace starts to appear in your long run.</t>
        </is>
      </c>
      <c r="H42" s="33">
        <f>IF(A42="","",COUNTIFS('Run sessions'!$A$2:$A$401,A42,'Run sessions'!$B$2:$B$401,B42))</f>
        <v/>
      </c>
      <c r="I42" s="33">
        <f>IF(OR(A42="",D42=""),"",IFERROR(ROUND(D42*IF(INDEX(Programmes!$L$2:$L$10,MATCH(A42,Programmes!$A$2:$A$10,0))="",INDEX(Programmes!$K$2:$K$10,MATCH(A42,Programmes!$A$2:$A$10,0)),INDEX(Programmes!$L$2:$L$10,MATCH(A42,Programmes!$A$2:$A$10,0))),1),""))</f>
        <v/>
      </c>
      <c r="J42" s="33">
        <f>IF(I42="","",IF(LOWER(E42)="auto",ROUND(I42*Rules!$C$8,1),IF(RIGHT(E42,1)="%",ROUND(I42*VALUE(LEFT(E42,LEN(E42)-1))/100,1),IF(RIGHT(LOWER(E42),2)="km",VALUE(LEFT(E42,LEN(E42)-2)),IF(LOWER(E42)="race","race",E42)))))</f>
        <v/>
      </c>
    </row>
    <row r="43" ht="15" customHeight="1" s="21">
      <c r="A43" s="32" t="inlineStr">
        <is>
          <t>Marathon</t>
        </is>
      </c>
      <c r="B43" s="32" t="n">
        <v>6</v>
      </c>
      <c r="C43" s="32" t="inlineStr">
        <is>
          <t>Build</t>
        </is>
      </c>
      <c r="D43" s="35" t="n">
        <v>1.15</v>
      </c>
      <c r="E43" s="32" t="inlineStr">
        <is>
          <t>auto</t>
        </is>
      </c>
      <c r="F43" s="32" t="inlineStr">
        <is>
          <t>Heavy</t>
        </is>
      </c>
      <c r="G43" s="32" t="n"/>
      <c r="H43" s="33">
        <f>IF(A43="","",COUNTIFS('Run sessions'!$A$2:$A$401,A43,'Run sessions'!$B$2:$B$401,B43))</f>
        <v/>
      </c>
      <c r="I43" s="33">
        <f>IF(OR(A43="",D43=""),"",IFERROR(ROUND(D43*IF(INDEX(Programmes!$L$2:$L$10,MATCH(A43,Programmes!$A$2:$A$10,0))="",INDEX(Programmes!$K$2:$K$10,MATCH(A43,Programmes!$A$2:$A$10,0)),INDEX(Programmes!$L$2:$L$10,MATCH(A43,Programmes!$A$2:$A$10,0))),1),""))</f>
        <v/>
      </c>
      <c r="J43" s="33">
        <f>IF(I43="","",IF(LOWER(E43)="auto",ROUND(I43*Rules!$C$8,1),IF(RIGHT(E43,1)="%",ROUND(I43*VALUE(LEFT(E43,LEN(E43)-1))/100,1),IF(RIGHT(LOWER(E43),2)="km",VALUE(LEFT(E43,LEN(E43)-2)),IF(LOWER(E43)="race","race",E43)))))</f>
        <v/>
      </c>
    </row>
    <row r="44" ht="15" customHeight="1" s="21">
      <c r="A44" s="32" t="inlineStr">
        <is>
          <t>Marathon</t>
        </is>
      </c>
      <c r="B44" s="32" t="n">
        <v>7</v>
      </c>
      <c r="C44" s="32" t="inlineStr">
        <is>
          <t>Build</t>
        </is>
      </c>
      <c r="D44" s="35" t="n">
        <v>1.2</v>
      </c>
      <c r="E44" s="32" t="inlineStr">
        <is>
          <t>auto</t>
        </is>
      </c>
      <c r="F44" s="32" t="inlineStr">
        <is>
          <t>Normal</t>
        </is>
      </c>
      <c r="G44" s="32" t="n"/>
      <c r="H44" s="33">
        <f>IF(A44="","",COUNTIFS('Run sessions'!$A$2:$A$401,A44,'Run sessions'!$B$2:$B$401,B44))</f>
        <v/>
      </c>
      <c r="I44" s="33">
        <f>IF(OR(A44="",D44=""),"",IFERROR(ROUND(D44*IF(INDEX(Programmes!$L$2:$L$10,MATCH(A44,Programmes!$A$2:$A$10,0))="",INDEX(Programmes!$K$2:$K$10,MATCH(A44,Programmes!$A$2:$A$10,0)),INDEX(Programmes!$L$2:$L$10,MATCH(A44,Programmes!$A$2:$A$10,0))),1),""))</f>
        <v/>
      </c>
      <c r="J44" s="33">
        <f>IF(I44="","",IF(LOWER(E44)="auto",ROUND(I44*Rules!$C$8,1),IF(RIGHT(E44,1)="%",ROUND(I44*VALUE(LEFT(E44,LEN(E44)-1))/100,1),IF(RIGHT(LOWER(E44),2)="km",VALUE(LEFT(E44,LEN(E44)-2)),IF(LOWER(E44)="race","race",E44)))))</f>
        <v/>
      </c>
    </row>
    <row r="45" ht="15" customHeight="1" s="21">
      <c r="A45" s="32" t="inlineStr">
        <is>
          <t>Marathon</t>
        </is>
      </c>
      <c r="B45" s="32" t="n">
        <v>8</v>
      </c>
      <c r="C45" s="32" t="inlineStr">
        <is>
          <t>Deload</t>
        </is>
      </c>
      <c r="D45" s="35" t="n">
        <v>0.95</v>
      </c>
      <c r="E45" s="32" t="inlineStr">
        <is>
          <t>auto</t>
        </is>
      </c>
      <c r="F45" s="32" t="inlineStr">
        <is>
          <t>Light</t>
        </is>
      </c>
      <c r="G45" s="32" t="inlineStr">
        <is>
          <t>Lighter week before the big block.</t>
        </is>
      </c>
      <c r="H45" s="33">
        <f>IF(A45="","",COUNTIFS('Run sessions'!$A$2:$A$401,A45,'Run sessions'!$B$2:$B$401,B45))</f>
        <v/>
      </c>
      <c r="I45" s="33">
        <f>IF(OR(A45="",D45=""),"",IFERROR(ROUND(D45*IF(INDEX(Programmes!$L$2:$L$10,MATCH(A45,Programmes!$A$2:$A$10,0))="",INDEX(Programmes!$K$2:$K$10,MATCH(A45,Programmes!$A$2:$A$10,0)),INDEX(Programmes!$L$2:$L$10,MATCH(A45,Programmes!$A$2:$A$10,0))),1),""))</f>
        <v/>
      </c>
      <c r="J45" s="33">
        <f>IF(I45="","",IF(LOWER(E45)="auto",ROUND(I45*Rules!$C$8,1),IF(RIGHT(E45,1)="%",ROUND(I45*VALUE(LEFT(E45,LEN(E45)-1))/100,1),IF(RIGHT(LOWER(E45),2)="km",VALUE(LEFT(E45,LEN(E45)-2)),IF(LOWER(E45)="race","race",E45)))))</f>
        <v/>
      </c>
    </row>
    <row r="46" ht="15" customHeight="1" s="21">
      <c r="A46" s="32" t="inlineStr">
        <is>
          <t>Marathon</t>
        </is>
      </c>
      <c r="B46" s="32" t="n">
        <v>9</v>
      </c>
      <c r="C46" s="32" t="inlineStr">
        <is>
          <t>Build</t>
        </is>
      </c>
      <c r="D46" s="35" t="n">
        <v>1.2</v>
      </c>
      <c r="E46" s="32" t="inlineStr">
        <is>
          <t>30%</t>
        </is>
      </c>
      <c r="F46" s="32" t="inlineStr">
        <is>
          <t>Normal</t>
        </is>
      </c>
      <c r="G46" s="32" t="inlineStr">
        <is>
          <t>First really long run: keep it easy.</t>
        </is>
      </c>
      <c r="H46" s="33">
        <f>IF(A46="","",COUNTIFS('Run sessions'!$A$2:$A$401,A46,'Run sessions'!$B$2:$B$401,B46))</f>
        <v/>
      </c>
      <c r="I46" s="33">
        <f>IF(OR(A46="",D46=""),"",IFERROR(ROUND(D46*IF(INDEX(Programmes!$L$2:$L$10,MATCH(A46,Programmes!$A$2:$A$10,0))="",INDEX(Programmes!$K$2:$K$10,MATCH(A46,Programmes!$A$2:$A$10,0)),INDEX(Programmes!$L$2:$L$10,MATCH(A46,Programmes!$A$2:$A$10,0))),1),""))</f>
        <v/>
      </c>
      <c r="J46" s="33">
        <f>IF(I46="","",IF(LOWER(E46)="auto",ROUND(I46*Rules!$C$8,1),IF(RIGHT(E46,1)="%",ROUND(I46*VALUE(LEFT(E46,LEN(E46)-1))/100,1),IF(RIGHT(LOWER(E46),2)="km",VALUE(LEFT(E46,LEN(E46)-2)),IF(LOWER(E46)="race","race",E46)))))</f>
        <v/>
      </c>
    </row>
    <row r="47" ht="15" customHeight="1" s="21">
      <c r="A47" s="32" t="inlineStr">
        <is>
          <t>Marathon</t>
        </is>
      </c>
      <c r="B47" s="32" t="n">
        <v>10</v>
      </c>
      <c r="C47" s="32" t="inlineStr">
        <is>
          <t>Build</t>
        </is>
      </c>
      <c r="D47" s="35" t="n">
        <v>1.25</v>
      </c>
      <c r="E47" s="32" t="inlineStr">
        <is>
          <t>30%</t>
        </is>
      </c>
      <c r="F47" s="32" t="inlineStr">
        <is>
          <t>Heavy</t>
        </is>
      </c>
      <c r="G47" s="32" t="n"/>
      <c r="H47" s="33">
        <f>IF(A47="","",COUNTIFS('Run sessions'!$A$2:$A$401,A47,'Run sessions'!$B$2:$B$401,B47))</f>
        <v/>
      </c>
      <c r="I47" s="33">
        <f>IF(OR(A47="",D47=""),"",IFERROR(ROUND(D47*IF(INDEX(Programmes!$L$2:$L$10,MATCH(A47,Programmes!$A$2:$A$10,0))="",INDEX(Programmes!$K$2:$K$10,MATCH(A47,Programmes!$A$2:$A$10,0)),INDEX(Programmes!$L$2:$L$10,MATCH(A47,Programmes!$A$2:$A$10,0))),1),""))</f>
        <v/>
      </c>
      <c r="J47" s="33">
        <f>IF(I47="","",IF(LOWER(E47)="auto",ROUND(I47*Rules!$C$8,1),IF(RIGHT(E47,1)="%",ROUND(I47*VALUE(LEFT(E47,LEN(E47)-1))/100,1),IF(RIGHT(LOWER(E47),2)="km",VALUE(LEFT(E47,LEN(E47)-2)),IF(LOWER(E47)="race","race",E47)))))</f>
        <v/>
      </c>
    </row>
    <row r="48" ht="15" customHeight="1" s="21">
      <c r="A48" s="32" t="inlineStr">
        <is>
          <t>Marathon</t>
        </is>
      </c>
      <c r="B48" s="32" t="n">
        <v>11</v>
      </c>
      <c r="C48" s="32" t="inlineStr">
        <is>
          <t>Peak</t>
        </is>
      </c>
      <c r="D48" s="35" t="n">
        <v>1.3</v>
      </c>
      <c r="E48" s="32" t="inlineStr">
        <is>
          <t>34%</t>
        </is>
      </c>
      <c r="F48" s="32" t="inlineStr">
        <is>
          <t>Light</t>
        </is>
      </c>
      <c r="G48" s="32" t="inlineStr">
        <is>
          <t>Peak block: long runs near their longest.</t>
        </is>
      </c>
      <c r="H48" s="33">
        <f>IF(A48="","",COUNTIFS('Run sessions'!$A$2:$A$401,A48,'Run sessions'!$B$2:$B$401,B48))</f>
        <v/>
      </c>
      <c r="I48" s="33">
        <f>IF(OR(A48="",D48=""),"",IFERROR(ROUND(D48*IF(INDEX(Programmes!$L$2:$L$10,MATCH(A48,Programmes!$A$2:$A$10,0))="",INDEX(Programmes!$K$2:$K$10,MATCH(A48,Programmes!$A$2:$A$10,0)),INDEX(Programmes!$L$2:$L$10,MATCH(A48,Programmes!$A$2:$A$10,0))),1),""))</f>
        <v/>
      </c>
      <c r="J48" s="33">
        <f>IF(I48="","",IF(LOWER(E48)="auto",ROUND(I48*Rules!$C$8,1),IF(RIGHT(E48,1)="%",ROUND(I48*VALUE(LEFT(E48,LEN(E48)-1))/100,1),IF(RIGHT(LOWER(E48),2)="km",VALUE(LEFT(E48,LEN(E48)-2)),IF(LOWER(E48)="race","race",E48)))))</f>
        <v/>
      </c>
    </row>
    <row r="49" ht="15" customHeight="1" s="21">
      <c r="A49" s="32" t="inlineStr">
        <is>
          <t>Marathon</t>
        </is>
      </c>
      <c r="B49" s="32" t="n">
        <v>12</v>
      </c>
      <c r="C49" s="32" t="inlineStr">
        <is>
          <t>Deload</t>
        </is>
      </c>
      <c r="D49" s="35" t="n">
        <v>1</v>
      </c>
      <c r="E49" s="32" t="inlineStr">
        <is>
          <t>auto</t>
        </is>
      </c>
      <c r="F49" s="32" t="inlineStr">
        <is>
          <t>Light</t>
        </is>
      </c>
      <c r="G49" s="32" t="inlineStr">
        <is>
          <t>Recover before your longest run.</t>
        </is>
      </c>
      <c r="H49" s="33">
        <f>IF(A49="","",COUNTIFS('Run sessions'!$A$2:$A$401,A49,'Run sessions'!$B$2:$B$401,B49))</f>
        <v/>
      </c>
      <c r="I49" s="33">
        <f>IF(OR(A49="",D49=""),"",IFERROR(ROUND(D49*IF(INDEX(Programmes!$L$2:$L$10,MATCH(A49,Programmes!$A$2:$A$10,0))="",INDEX(Programmes!$K$2:$K$10,MATCH(A49,Programmes!$A$2:$A$10,0)),INDEX(Programmes!$L$2:$L$10,MATCH(A49,Programmes!$A$2:$A$10,0))),1),""))</f>
        <v/>
      </c>
      <c r="J49" s="33">
        <f>IF(I49="","",IF(LOWER(E49)="auto",ROUND(I49*Rules!$C$8,1),IF(RIGHT(E49,1)="%",ROUND(I49*VALUE(LEFT(E49,LEN(E49)-1))/100,1),IF(RIGHT(LOWER(E49),2)="km",VALUE(LEFT(E49,LEN(E49)-2)),IF(LOWER(E49)="race","race",E49)))))</f>
        <v/>
      </c>
    </row>
    <row r="50" ht="15" customHeight="1" s="21">
      <c r="A50" s="32" t="inlineStr">
        <is>
          <t>Marathon</t>
        </is>
      </c>
      <c r="B50" s="32" t="n">
        <v>13</v>
      </c>
      <c r="C50" s="32" t="inlineStr">
        <is>
          <t>Peak</t>
        </is>
      </c>
      <c r="D50" s="35" t="n">
        <v>1.3</v>
      </c>
      <c r="E50" s="32" t="inlineStr">
        <is>
          <t>38%</t>
        </is>
      </c>
      <c r="F50" s="32" t="inlineStr">
        <is>
          <t>Light</t>
        </is>
      </c>
      <c r="G50" s="32" t="inlineStr">
        <is>
          <t>Your longest run of the plan.</t>
        </is>
      </c>
      <c r="H50" s="33">
        <f>IF(A50="","",COUNTIFS('Run sessions'!$A$2:$A$401,A50,'Run sessions'!$B$2:$B$401,B50))</f>
        <v/>
      </c>
      <c r="I50" s="33">
        <f>IF(OR(A50="",D50=""),"",IFERROR(ROUND(D50*IF(INDEX(Programmes!$L$2:$L$10,MATCH(A50,Programmes!$A$2:$A$10,0))="",INDEX(Programmes!$K$2:$K$10,MATCH(A50,Programmes!$A$2:$A$10,0)),INDEX(Programmes!$L$2:$L$10,MATCH(A50,Programmes!$A$2:$A$10,0))),1),""))</f>
        <v/>
      </c>
      <c r="J50" s="33">
        <f>IF(I50="","",IF(LOWER(E50)="auto",ROUND(I50*Rules!$C$8,1),IF(RIGHT(E50,1)="%",ROUND(I50*VALUE(LEFT(E50,LEN(E50)-1))/100,1),IF(RIGHT(LOWER(E50),2)="km",VALUE(LEFT(E50,LEN(E50)-2)),IF(LOWER(E50)="race","race",E50)))))</f>
        <v/>
      </c>
    </row>
    <row r="51" ht="15" customHeight="1" s="21">
      <c r="A51" s="32" t="inlineStr">
        <is>
          <t>Marathon</t>
        </is>
      </c>
      <c r="B51" s="32" t="n">
        <v>14</v>
      </c>
      <c r="C51" s="32" t="inlineStr">
        <is>
          <t>Peak</t>
        </is>
      </c>
      <c r="D51" s="35" t="n">
        <v>1.2</v>
      </c>
      <c r="E51" s="32" t="inlineStr">
        <is>
          <t>28%</t>
        </is>
      </c>
      <c r="F51" s="32" t="inlineStr">
        <is>
          <t>Light</t>
        </is>
      </c>
      <c r="G51" s="32" t="inlineStr">
        <is>
          <t>Last big week: a long run with plenty of marathon pace.</t>
        </is>
      </c>
      <c r="H51" s="33">
        <f>IF(A51="","",COUNTIFS('Run sessions'!$A$2:$A$401,A51,'Run sessions'!$B$2:$B$401,B51))</f>
        <v/>
      </c>
      <c r="I51" s="33">
        <f>IF(OR(A51="",D51=""),"",IFERROR(ROUND(D51*IF(INDEX(Programmes!$L$2:$L$10,MATCH(A51,Programmes!$A$2:$A$10,0))="",INDEX(Programmes!$K$2:$K$10,MATCH(A51,Programmes!$A$2:$A$10,0)),INDEX(Programmes!$L$2:$L$10,MATCH(A51,Programmes!$A$2:$A$10,0))),1),""))</f>
        <v/>
      </c>
      <c r="J51" s="33">
        <f>IF(I51="","",IF(LOWER(E51)="auto",ROUND(I51*Rules!$C$8,1),IF(RIGHT(E51,1)="%",ROUND(I51*VALUE(LEFT(E51,LEN(E51)-1))/100,1),IF(RIGHT(LOWER(E51),2)="km",VALUE(LEFT(E51,LEN(E51)-2)),IF(LOWER(E51)="race","race",E51)))))</f>
        <v/>
      </c>
    </row>
    <row r="52" ht="15" customHeight="1" s="21">
      <c r="A52" s="32" t="inlineStr">
        <is>
          <t>Marathon</t>
        </is>
      </c>
      <c r="B52" s="32" t="n">
        <v>15</v>
      </c>
      <c r="C52" s="32" t="inlineStr">
        <is>
          <t>Taper</t>
        </is>
      </c>
      <c r="D52" s="35" t="n">
        <v>0.75</v>
      </c>
      <c r="E52" s="32" t="inlineStr">
        <is>
          <t>30%</t>
        </is>
      </c>
      <c r="F52" s="32" t="inlineStr">
        <is>
          <t>Light</t>
        </is>
      </c>
      <c r="G52" s="32" t="inlineStr">
        <is>
          <t>Taper: less running, keep a little pace.</t>
        </is>
      </c>
      <c r="H52" s="33">
        <f>IF(A52="","",COUNTIFS('Run sessions'!$A$2:$A$401,A52,'Run sessions'!$B$2:$B$401,B52))</f>
        <v/>
      </c>
      <c r="I52" s="33">
        <f>IF(OR(A52="",D52=""),"",IFERROR(ROUND(D52*IF(INDEX(Programmes!$L$2:$L$10,MATCH(A52,Programmes!$A$2:$A$10,0))="",INDEX(Programmes!$K$2:$K$10,MATCH(A52,Programmes!$A$2:$A$10,0)),INDEX(Programmes!$L$2:$L$10,MATCH(A52,Programmes!$A$2:$A$10,0))),1),""))</f>
        <v/>
      </c>
      <c r="J52" s="33">
        <f>IF(I52="","",IF(LOWER(E52)="auto",ROUND(I52*Rules!$C$8,1),IF(RIGHT(E52,1)="%",ROUND(I52*VALUE(LEFT(E52,LEN(E52)-1))/100,1),IF(RIGHT(LOWER(E52),2)="km",VALUE(LEFT(E52,LEN(E52)-2)),IF(LOWER(E52)="race","race",E52)))))</f>
        <v/>
      </c>
    </row>
    <row r="53" ht="15" customHeight="1" s="21">
      <c r="A53" s="32" t="inlineStr">
        <is>
          <t>Marathon</t>
        </is>
      </c>
      <c r="B53" s="32" t="n">
        <v>16</v>
      </c>
      <c r="C53" s="32" t="inlineStr">
        <is>
          <t>Race week</t>
        </is>
      </c>
      <c r="D53" s="35" t="n">
        <v>0.5</v>
      </c>
      <c r="E53" s="32" t="inlineStr">
        <is>
          <t>Race</t>
        </is>
      </c>
      <c r="F53" s="32" t="inlineStr">
        <is>
          <t>None</t>
        </is>
      </c>
      <c r="G53" s="32" t="inlineStr">
        <is>
          <t>Race day!</t>
        </is>
      </c>
      <c r="H53" s="33">
        <f>IF(A53="","",COUNTIFS('Run sessions'!$A$2:$A$401,A53,'Run sessions'!$B$2:$B$401,B53))</f>
        <v/>
      </c>
      <c r="I53" s="33">
        <f>IF(OR(A53="",D53=""),"",IFERROR(ROUND(D53*IF(INDEX(Programmes!$L$2:$L$10,MATCH(A53,Programmes!$A$2:$A$10,0))="",INDEX(Programmes!$K$2:$K$10,MATCH(A53,Programmes!$A$2:$A$10,0)),INDEX(Programmes!$L$2:$L$10,MATCH(A53,Programmes!$A$2:$A$10,0))),1),""))</f>
        <v/>
      </c>
      <c r="J53" s="33">
        <f>IF(I53="","",IF(LOWER(E53)="auto",ROUND(I53*Rules!$C$8,1),IF(RIGHT(E53,1)="%",ROUND(I53*VALUE(LEFT(E53,LEN(E53)-1))/100,1),IF(RIGHT(LOWER(E53),2)="km",VALUE(LEFT(E53,LEN(E53)-2)),IF(LOWER(E53)="race","race",E53)))))</f>
        <v/>
      </c>
    </row>
    <row r="54" ht="15" customHeight="1" s="21">
      <c r="A54" s="32" t="inlineStr">
        <is>
          <t>Faster 5K</t>
        </is>
      </c>
      <c r="B54" s="32" t="n">
        <v>1</v>
      </c>
      <c r="C54" s="32" t="inlineStr">
        <is>
          <t>Base</t>
        </is>
      </c>
      <c r="D54" s="35" t="n">
        <v>1</v>
      </c>
      <c r="E54" s="32" t="inlineStr">
        <is>
          <t>auto</t>
        </is>
      </c>
      <c r="F54" s="32" t="inlineStr">
        <is>
          <t>Normal</t>
        </is>
      </c>
      <c r="G54" s="32" t="inlineStr">
        <is>
          <t>Settle in: one quality session, the rest easy.</t>
        </is>
      </c>
      <c r="H54" s="33">
        <f>IF(A54="","",COUNTIFS('Run sessions'!$A$2:$A$401,A54,'Run sessions'!$B$2:$B$401,B54))</f>
        <v/>
      </c>
      <c r="I54" s="33">
        <f>IF(OR(A54="",D54=""),"",IFERROR(ROUND(D54*IF(INDEX(Programmes!$L$2:$L$10,MATCH(A54,Programmes!$A$2:$A$10,0))="",INDEX(Programmes!$K$2:$K$10,MATCH(A54,Programmes!$A$2:$A$10,0)),INDEX(Programmes!$L$2:$L$10,MATCH(A54,Programmes!$A$2:$A$10,0))),1),""))</f>
        <v/>
      </c>
      <c r="J54" s="33">
        <f>IF(I54="","",IF(LOWER(E54)="auto",ROUND(I54*Rules!$C$8,1),IF(RIGHT(E54,1)="%",ROUND(I54*VALUE(LEFT(E54,LEN(E54)-1))/100,1),IF(RIGHT(LOWER(E54),2)="km",VALUE(LEFT(E54,LEN(E54)-2)),IF(LOWER(E54)="race","race",E54)))))</f>
        <v/>
      </c>
    </row>
    <row r="55" ht="15" customHeight="1" s="21">
      <c r="A55" s="32" t="inlineStr">
        <is>
          <t>Faster 5K</t>
        </is>
      </c>
      <c r="B55" s="32" t="n">
        <v>2</v>
      </c>
      <c r="C55" s="32" t="inlineStr">
        <is>
          <t>Base</t>
        </is>
      </c>
      <c r="D55" s="35" t="n">
        <v>1.05</v>
      </c>
      <c r="E55" s="32" t="inlineStr">
        <is>
          <t>auto</t>
        </is>
      </c>
      <c r="F55" s="32" t="inlineStr">
        <is>
          <t>Normal</t>
        </is>
      </c>
      <c r="G55" s="32" t="n"/>
      <c r="H55" s="33">
        <f>IF(A55="","",COUNTIFS('Run sessions'!$A$2:$A$401,A55,'Run sessions'!$B$2:$B$401,B55))</f>
        <v/>
      </c>
      <c r="I55" s="33">
        <f>IF(OR(A55="",D55=""),"",IFERROR(ROUND(D55*IF(INDEX(Programmes!$L$2:$L$10,MATCH(A55,Programmes!$A$2:$A$10,0))="",INDEX(Programmes!$K$2:$K$10,MATCH(A55,Programmes!$A$2:$A$10,0)),INDEX(Programmes!$L$2:$L$10,MATCH(A55,Programmes!$A$2:$A$10,0))),1),""))</f>
        <v/>
      </c>
      <c r="J55" s="33">
        <f>IF(I55="","",IF(LOWER(E55)="auto",ROUND(I55*Rules!$C$8,1),IF(RIGHT(E55,1)="%",ROUND(I55*VALUE(LEFT(E55,LEN(E55)-1))/100,1),IF(RIGHT(LOWER(E55),2)="km",VALUE(LEFT(E55,LEN(E55)-2)),IF(LOWER(E55)="race","race",E55)))))</f>
        <v/>
      </c>
    </row>
    <row r="56" ht="15" customHeight="1" s="21">
      <c r="A56" s="32" t="inlineStr">
        <is>
          <t>Faster 5K</t>
        </is>
      </c>
      <c r="B56" s="32" t="n">
        <v>3</v>
      </c>
      <c r="C56" s="32" t="inlineStr">
        <is>
          <t>Base</t>
        </is>
      </c>
      <c r="D56" s="35" t="n">
        <v>1.1</v>
      </c>
      <c r="E56" s="32" t="inlineStr">
        <is>
          <t>auto</t>
        </is>
      </c>
      <c r="F56" s="32" t="inlineStr">
        <is>
          <t>Heavy</t>
        </is>
      </c>
      <c r="G56" s="32" t="n"/>
      <c r="H56" s="33">
        <f>IF(A56="","",COUNTIFS('Run sessions'!$A$2:$A$401,A56,'Run sessions'!$B$2:$B$401,B56))</f>
        <v/>
      </c>
      <c r="I56" s="33">
        <f>IF(OR(A56="",D56=""),"",IFERROR(ROUND(D56*IF(INDEX(Programmes!$L$2:$L$10,MATCH(A56,Programmes!$A$2:$A$10,0))="",INDEX(Programmes!$K$2:$K$10,MATCH(A56,Programmes!$A$2:$A$10,0)),INDEX(Programmes!$L$2:$L$10,MATCH(A56,Programmes!$A$2:$A$10,0))),1),""))</f>
        <v/>
      </c>
      <c r="J56" s="33">
        <f>IF(I56="","",IF(LOWER(E56)="auto",ROUND(I56*Rules!$C$8,1),IF(RIGHT(E56,1)="%",ROUND(I56*VALUE(LEFT(E56,LEN(E56)-1))/100,1),IF(RIGHT(LOWER(E56),2)="km",VALUE(LEFT(E56,LEN(E56)-2)),IF(LOWER(E56)="race","race",E56)))))</f>
        <v/>
      </c>
    </row>
    <row r="57" ht="15" customHeight="1" s="21">
      <c r="A57" s="32" t="inlineStr">
        <is>
          <t>Faster 5K</t>
        </is>
      </c>
      <c r="B57" s="32" t="n">
        <v>4</v>
      </c>
      <c r="C57" s="32" t="inlineStr">
        <is>
          <t>Deload</t>
        </is>
      </c>
      <c r="D57" s="35" t="n">
        <v>0.9</v>
      </c>
      <c r="E57" s="32" t="inlineStr">
        <is>
          <t>auto</t>
        </is>
      </c>
      <c r="F57" s="32" t="inlineStr">
        <is>
          <t>Light</t>
        </is>
      </c>
      <c r="G57" s="32" t="inlineStr">
        <is>
          <t>Lighter week: let the work sink in.</t>
        </is>
      </c>
      <c r="H57" s="33">
        <f>IF(A57="","",COUNTIFS('Run sessions'!$A$2:$A$401,A57,'Run sessions'!$B$2:$B$401,B57))</f>
        <v/>
      </c>
      <c r="I57" s="33">
        <f>IF(OR(A57="",D57=""),"",IFERROR(ROUND(D57*IF(INDEX(Programmes!$L$2:$L$10,MATCH(A57,Programmes!$A$2:$A$10,0))="",INDEX(Programmes!$K$2:$K$10,MATCH(A57,Programmes!$A$2:$A$10,0)),INDEX(Programmes!$L$2:$L$10,MATCH(A57,Programmes!$A$2:$A$10,0))),1),""))</f>
        <v/>
      </c>
      <c r="J57" s="33">
        <f>IF(I57="","",IF(LOWER(E57)="auto",ROUND(I57*Rules!$C$8,1),IF(RIGHT(E57,1)="%",ROUND(I57*VALUE(LEFT(E57,LEN(E57)-1))/100,1),IF(RIGHT(LOWER(E57),2)="km",VALUE(LEFT(E57,LEN(E57)-2)),IF(LOWER(E57)="race","race",E57)))))</f>
        <v/>
      </c>
    </row>
    <row r="58" ht="15" customHeight="1" s="21">
      <c r="A58" s="32" t="inlineStr">
        <is>
          <t>Faster 5K</t>
        </is>
      </c>
      <c r="B58" s="32" t="n">
        <v>5</v>
      </c>
      <c r="C58" s="32" t="inlineStr">
        <is>
          <t>Build</t>
        </is>
      </c>
      <c r="D58" s="35" t="n">
        <v>1.1</v>
      </c>
      <c r="E58" s="32" t="inlineStr">
        <is>
          <t>auto</t>
        </is>
      </c>
      <c r="F58" s="32" t="inlineStr">
        <is>
          <t>Normal</t>
        </is>
      </c>
      <c r="G58" s="32" t="n"/>
      <c r="H58" s="33">
        <f>IF(A58="","",COUNTIFS('Run sessions'!$A$2:$A$401,A58,'Run sessions'!$B$2:$B$401,B58))</f>
        <v/>
      </c>
      <c r="I58" s="33">
        <f>IF(OR(A58="",D58=""),"",IFERROR(ROUND(D58*IF(INDEX(Programmes!$L$2:$L$10,MATCH(A58,Programmes!$A$2:$A$10,0))="",INDEX(Programmes!$K$2:$K$10,MATCH(A58,Programmes!$A$2:$A$10,0)),INDEX(Programmes!$L$2:$L$10,MATCH(A58,Programmes!$A$2:$A$10,0))),1),""))</f>
        <v/>
      </c>
      <c r="J58" s="33">
        <f>IF(I58="","",IF(LOWER(E58)="auto",ROUND(I58*Rules!$C$8,1),IF(RIGHT(E58,1)="%",ROUND(I58*VALUE(LEFT(E58,LEN(E58)-1))/100,1),IF(RIGHT(LOWER(E58),2)="km",VALUE(LEFT(E58,LEN(E58)-2)),IF(LOWER(E58)="race","race",E58)))))</f>
        <v/>
      </c>
    </row>
    <row r="59" ht="15" customHeight="1" s="21">
      <c r="A59" s="32" t="inlineStr">
        <is>
          <t>Faster 5K</t>
        </is>
      </c>
      <c r="B59" s="32" t="n">
        <v>6</v>
      </c>
      <c r="C59" s="32" t="inlineStr">
        <is>
          <t>Build</t>
        </is>
      </c>
      <c r="D59" s="35" t="n">
        <v>1.15</v>
      </c>
      <c r="E59" s="32" t="inlineStr">
        <is>
          <t>auto</t>
        </is>
      </c>
      <c r="F59" s="32" t="inlineStr">
        <is>
          <t>Heavy</t>
        </is>
      </c>
      <c r="G59" s="32" t="n"/>
      <c r="H59" s="33">
        <f>IF(A59="","",COUNTIFS('Run sessions'!$A$2:$A$401,A59,'Run sessions'!$B$2:$B$401,B59))</f>
        <v/>
      </c>
      <c r="I59" s="33">
        <f>IF(OR(A59="",D59=""),"",IFERROR(ROUND(D59*IF(INDEX(Programmes!$L$2:$L$10,MATCH(A59,Programmes!$A$2:$A$10,0))="",INDEX(Programmes!$K$2:$K$10,MATCH(A59,Programmes!$A$2:$A$10,0)),INDEX(Programmes!$L$2:$L$10,MATCH(A59,Programmes!$A$2:$A$10,0))),1),""))</f>
        <v/>
      </c>
      <c r="J59" s="33">
        <f>IF(I59="","",IF(LOWER(E59)="auto",ROUND(I59*Rules!$C$8,1),IF(RIGHT(E59,1)="%",ROUND(I59*VALUE(LEFT(E59,LEN(E59)-1))/100,1),IF(RIGHT(LOWER(E59),2)="km",VALUE(LEFT(E59,LEN(E59)-2)),IF(LOWER(E59)="race","race",E59)))))</f>
        <v/>
      </c>
    </row>
    <row r="60" ht="15" customHeight="1" s="21">
      <c r="A60" s="32" t="inlineStr">
        <is>
          <t>Faster 5K</t>
        </is>
      </c>
      <c r="B60" s="32" t="n">
        <v>7</v>
      </c>
      <c r="C60" s="32" t="inlineStr">
        <is>
          <t>Build</t>
        </is>
      </c>
      <c r="D60" s="35" t="n">
        <v>1.2</v>
      </c>
      <c r="E60" s="32" t="inlineStr">
        <is>
          <t>auto</t>
        </is>
      </c>
      <c r="F60" s="32" t="inlineStr">
        <is>
          <t>Normal</t>
        </is>
      </c>
      <c r="G60" s="32" t="n"/>
      <c r="H60" s="33">
        <f>IF(A60="","",COUNTIFS('Run sessions'!$A$2:$A$401,A60,'Run sessions'!$B$2:$B$401,B60))</f>
        <v/>
      </c>
      <c r="I60" s="33">
        <f>IF(OR(A60="",D60=""),"",IFERROR(ROUND(D60*IF(INDEX(Programmes!$L$2:$L$10,MATCH(A60,Programmes!$A$2:$A$10,0))="",INDEX(Programmes!$K$2:$K$10,MATCH(A60,Programmes!$A$2:$A$10,0)),INDEX(Programmes!$L$2:$L$10,MATCH(A60,Programmes!$A$2:$A$10,0))),1),""))</f>
        <v/>
      </c>
      <c r="J60" s="33">
        <f>IF(I60="","",IF(LOWER(E60)="auto",ROUND(I60*Rules!$C$8,1),IF(RIGHT(E60,1)="%",ROUND(I60*VALUE(LEFT(E60,LEN(E60)-1))/100,1),IF(RIGHT(LOWER(E60),2)="km",VALUE(LEFT(E60,LEN(E60)-2)),IF(LOWER(E60)="race","race",E60)))))</f>
        <v/>
      </c>
    </row>
    <row r="61" ht="15" customHeight="1" s="21">
      <c r="A61" s="32" t="inlineStr">
        <is>
          <t>Faster 5K</t>
        </is>
      </c>
      <c r="B61" s="32" t="n">
        <v>8</v>
      </c>
      <c r="C61" s="32" t="inlineStr">
        <is>
          <t>Deload</t>
        </is>
      </c>
      <c r="D61" s="35" t="n">
        <v>0.95</v>
      </c>
      <c r="E61" s="32" t="inlineStr">
        <is>
          <t>auto</t>
        </is>
      </c>
      <c r="F61" s="32" t="inlineStr">
        <is>
          <t>Light</t>
        </is>
      </c>
      <c r="G61" s="32" t="inlineStr">
        <is>
          <t>Lighter week before the peak.</t>
        </is>
      </c>
      <c r="H61" s="33">
        <f>IF(A61="","",COUNTIFS('Run sessions'!$A$2:$A$401,A61,'Run sessions'!$B$2:$B$401,B61))</f>
        <v/>
      </c>
      <c r="I61" s="33">
        <f>IF(OR(A61="",D61=""),"",IFERROR(ROUND(D61*IF(INDEX(Programmes!$L$2:$L$10,MATCH(A61,Programmes!$A$2:$A$10,0))="",INDEX(Programmes!$K$2:$K$10,MATCH(A61,Programmes!$A$2:$A$10,0)),INDEX(Programmes!$L$2:$L$10,MATCH(A61,Programmes!$A$2:$A$10,0))),1),""))</f>
        <v/>
      </c>
      <c r="J61" s="33">
        <f>IF(I61="","",IF(LOWER(E61)="auto",ROUND(I61*Rules!$C$8,1),IF(RIGHT(E61,1)="%",ROUND(I61*VALUE(LEFT(E61,LEN(E61)-1))/100,1),IF(RIGHT(LOWER(E61),2)="km",VALUE(LEFT(E61,LEN(E61)-2)),IF(LOWER(E61)="race","race",E61)))))</f>
        <v/>
      </c>
    </row>
    <row r="62" ht="15" customHeight="1" s="21">
      <c r="A62" s="32" t="inlineStr">
        <is>
          <t>Faster 5K</t>
        </is>
      </c>
      <c r="B62" s="32" t="n">
        <v>9</v>
      </c>
      <c r="C62" s="32" t="inlineStr">
        <is>
          <t>Peak</t>
        </is>
      </c>
      <c r="D62" s="35" t="n">
        <v>1.25</v>
      </c>
      <c r="E62" s="32" t="inlineStr">
        <is>
          <t>auto</t>
        </is>
      </c>
      <c r="F62" s="32" t="inlineStr">
        <is>
          <t>Normal</t>
        </is>
      </c>
      <c r="G62" s="32" t="inlineStr">
        <is>
          <t>Biggest week.</t>
        </is>
      </c>
      <c r="H62" s="33">
        <f>IF(A62="","",COUNTIFS('Run sessions'!$A$2:$A$401,A62,'Run sessions'!$B$2:$B$401,B62))</f>
        <v/>
      </c>
      <c r="I62" s="33">
        <f>IF(OR(A62="",D62=""),"",IFERROR(ROUND(D62*IF(INDEX(Programmes!$L$2:$L$10,MATCH(A62,Programmes!$A$2:$A$10,0))="",INDEX(Programmes!$K$2:$K$10,MATCH(A62,Programmes!$A$2:$A$10,0)),INDEX(Programmes!$L$2:$L$10,MATCH(A62,Programmes!$A$2:$A$10,0))),1),""))</f>
        <v/>
      </c>
      <c r="J62" s="33">
        <f>IF(I62="","",IF(LOWER(E62)="auto",ROUND(I62*Rules!$C$8,1),IF(RIGHT(E62,1)="%",ROUND(I62*VALUE(LEFT(E62,LEN(E62)-1))/100,1),IF(RIGHT(LOWER(E62),2)="km",VALUE(LEFT(E62,LEN(E62)-2)),IF(LOWER(E62)="race","race",E62)))))</f>
        <v/>
      </c>
    </row>
    <row r="63" ht="15" customHeight="1" s="21">
      <c r="A63" s="32" t="inlineStr">
        <is>
          <t>Faster 5K</t>
        </is>
      </c>
      <c r="B63" s="32" t="n">
        <v>10</v>
      </c>
      <c r="C63" s="32" t="inlineStr">
        <is>
          <t>Peak</t>
        </is>
      </c>
      <c r="D63" s="35" t="n">
        <v>1.25</v>
      </c>
      <c r="E63" s="32" t="inlineStr">
        <is>
          <t>auto</t>
        </is>
      </c>
      <c r="F63" s="32" t="inlineStr">
        <is>
          <t>Normal</t>
        </is>
      </c>
      <c r="G63" s="32" t="n"/>
      <c r="H63" s="33">
        <f>IF(A63="","",COUNTIFS('Run sessions'!$A$2:$A$401,A63,'Run sessions'!$B$2:$B$401,B63))</f>
        <v/>
      </c>
      <c r="I63" s="33">
        <f>IF(OR(A63="",D63=""),"",IFERROR(ROUND(D63*IF(INDEX(Programmes!$L$2:$L$10,MATCH(A63,Programmes!$A$2:$A$10,0))="",INDEX(Programmes!$K$2:$K$10,MATCH(A63,Programmes!$A$2:$A$10,0)),INDEX(Programmes!$L$2:$L$10,MATCH(A63,Programmes!$A$2:$A$10,0))),1),""))</f>
        <v/>
      </c>
      <c r="J63" s="33">
        <f>IF(I63="","",IF(LOWER(E63)="auto",ROUND(I63*Rules!$C$8,1),IF(RIGHT(E63,1)="%",ROUND(I63*VALUE(LEFT(E63,LEN(E63)-1))/100,1),IF(RIGHT(LOWER(E63),2)="km",VALUE(LEFT(E63,LEN(E63)-2)),IF(LOWER(E63)="race","race",E63)))))</f>
        <v/>
      </c>
    </row>
    <row r="64" ht="15" customHeight="1" s="21">
      <c r="A64" s="32" t="inlineStr">
        <is>
          <t>Faster 5K</t>
        </is>
      </c>
      <c r="B64" s="32" t="n">
        <v>11</v>
      </c>
      <c r="C64" s="32" t="inlineStr">
        <is>
          <t>Taper</t>
        </is>
      </c>
      <c r="D64" s="35" t="n">
        <v>0.85</v>
      </c>
      <c r="E64" s="32" t="inlineStr">
        <is>
          <t>auto</t>
        </is>
      </c>
      <c r="F64" s="32" t="inlineStr">
        <is>
          <t>Light</t>
        </is>
      </c>
      <c r="G64" s="32" t="inlineStr">
        <is>
          <t>Freshen up.</t>
        </is>
      </c>
      <c r="H64" s="33">
        <f>IF(A64="","",COUNTIFS('Run sessions'!$A$2:$A$401,A64,'Run sessions'!$B$2:$B$401,B64))</f>
        <v/>
      </c>
      <c r="I64" s="33">
        <f>IF(OR(A64="",D64=""),"",IFERROR(ROUND(D64*IF(INDEX(Programmes!$L$2:$L$10,MATCH(A64,Programmes!$A$2:$A$10,0))="",INDEX(Programmes!$K$2:$K$10,MATCH(A64,Programmes!$A$2:$A$10,0)),INDEX(Programmes!$L$2:$L$10,MATCH(A64,Programmes!$A$2:$A$10,0))),1),""))</f>
        <v/>
      </c>
      <c r="J64" s="33">
        <f>IF(I64="","",IF(LOWER(E64)="auto",ROUND(I64*Rules!$C$8,1),IF(RIGHT(E64,1)="%",ROUND(I64*VALUE(LEFT(E64,LEN(E64)-1))/100,1),IF(RIGHT(LOWER(E64),2)="km",VALUE(LEFT(E64,LEN(E64)-2)),IF(LOWER(E64)="race","race",E64)))))</f>
        <v/>
      </c>
    </row>
    <row r="65" ht="15" customHeight="1" s="21">
      <c r="A65" s="32" t="inlineStr">
        <is>
          <t>Faster 5K</t>
        </is>
      </c>
      <c r="B65" s="32" t="n">
        <v>12</v>
      </c>
      <c r="C65" s="32" t="inlineStr">
        <is>
          <t>Race week</t>
        </is>
      </c>
      <c r="D65" s="35" t="n">
        <v>0.55</v>
      </c>
      <c r="E65" s="32" t="inlineStr">
        <is>
          <t>Race</t>
        </is>
      </c>
      <c r="F65" s="32" t="inlineStr">
        <is>
          <t>None</t>
        </is>
      </c>
      <c r="G65" s="32" t="inlineStr">
        <is>
          <t>Race day!</t>
        </is>
      </c>
      <c r="H65" s="33">
        <f>IF(A65="","",COUNTIFS('Run sessions'!$A$2:$A$401,A65,'Run sessions'!$B$2:$B$401,B65))</f>
        <v/>
      </c>
      <c r="I65" s="33">
        <f>IF(OR(A65="",D65=""),"",IFERROR(ROUND(D65*IF(INDEX(Programmes!$L$2:$L$10,MATCH(A65,Programmes!$A$2:$A$10,0))="",INDEX(Programmes!$K$2:$K$10,MATCH(A65,Programmes!$A$2:$A$10,0)),INDEX(Programmes!$L$2:$L$10,MATCH(A65,Programmes!$A$2:$A$10,0))),1),""))</f>
        <v/>
      </c>
      <c r="J65" s="33">
        <f>IF(I65="","",IF(LOWER(E65)="auto",ROUND(I65*Rules!$C$8,1),IF(RIGHT(E65,1)="%",ROUND(I65*VALUE(LEFT(E65,LEN(E65)-1))/100,1),IF(RIGHT(LOWER(E65),2)="km",VALUE(LEFT(E65,LEN(E65)-2)),IF(LOWER(E65)="race","race",E65)))))</f>
        <v/>
      </c>
    </row>
    <row r="66" ht="15" customHeight="1" s="21">
      <c r="A66" s="32" t="inlineStr">
        <is>
          <t>First 5K</t>
        </is>
      </c>
      <c r="B66" s="32" t="n">
        <v>1</v>
      </c>
      <c r="C66" s="32" t="inlineStr">
        <is>
          <t>Base</t>
        </is>
      </c>
      <c r="D66" s="35" t="n">
        <v>0.6</v>
      </c>
      <c r="E66" s="32" t="inlineStr">
        <is>
          <t>auto</t>
        </is>
      </c>
      <c r="F66" s="32" t="inlineStr">
        <is>
          <t>Normal</t>
        </is>
      </c>
      <c r="G66" s="32" t="inlineStr">
        <is>
          <t>Run/walk: short runs with walking breaks. Easy enough to chat throughout.</t>
        </is>
      </c>
      <c r="H66" s="33">
        <f>IF(A66="","",COUNTIFS('Run sessions'!$A$2:$A$401,A66,'Run sessions'!$B$2:$B$401,B66))</f>
        <v/>
      </c>
      <c r="I66" s="33">
        <f>IF(OR(A66="",D66=""),"",IFERROR(ROUND(D66*IF(INDEX(Programmes!$L$2:$L$10,MATCH(A66,Programmes!$A$2:$A$10,0))="",INDEX(Programmes!$K$2:$K$10,MATCH(A66,Programmes!$A$2:$A$10,0)),INDEX(Programmes!$L$2:$L$10,MATCH(A66,Programmes!$A$2:$A$10,0))),1),""))</f>
        <v/>
      </c>
      <c r="J66" s="33">
        <f>IF(I66="","",IF(LOWER(E66)="auto",ROUND(I66*Rules!$C$8,1),IF(RIGHT(E66,1)="%",ROUND(I66*VALUE(LEFT(E66,LEN(E66)-1))/100,1),IF(RIGHT(LOWER(E66),2)="km",VALUE(LEFT(E66,LEN(E66)-2)),IF(LOWER(E66)="race","race",E66)))))</f>
        <v/>
      </c>
    </row>
    <row r="67" ht="15" customHeight="1" s="21">
      <c r="A67" s="32" t="inlineStr">
        <is>
          <t>First 5K</t>
        </is>
      </c>
      <c r="B67" s="32" t="n">
        <v>2</v>
      </c>
      <c r="C67" s="32" t="inlineStr">
        <is>
          <t>Base</t>
        </is>
      </c>
      <c r="D67" s="35" t="n">
        <v>0.7</v>
      </c>
      <c r="E67" s="32" t="inlineStr">
        <is>
          <t>auto</t>
        </is>
      </c>
      <c r="F67" s="32" t="inlineStr">
        <is>
          <t>Normal</t>
        </is>
      </c>
      <c r="G67" s="32" t="n"/>
      <c r="H67" s="33">
        <f>IF(A67="","",COUNTIFS('Run sessions'!$A$2:$A$401,A67,'Run sessions'!$B$2:$B$401,B67))</f>
        <v/>
      </c>
      <c r="I67" s="33">
        <f>IF(OR(A67="",D67=""),"",IFERROR(ROUND(D67*IF(INDEX(Programmes!$L$2:$L$10,MATCH(A67,Programmes!$A$2:$A$10,0))="",INDEX(Programmes!$K$2:$K$10,MATCH(A67,Programmes!$A$2:$A$10,0)),INDEX(Programmes!$L$2:$L$10,MATCH(A67,Programmes!$A$2:$A$10,0))),1),""))</f>
        <v/>
      </c>
      <c r="J67" s="33">
        <f>IF(I67="","",IF(LOWER(E67)="auto",ROUND(I67*Rules!$C$8,1),IF(RIGHT(E67,1)="%",ROUND(I67*VALUE(LEFT(E67,LEN(E67)-1))/100,1),IF(RIGHT(LOWER(E67),2)="km",VALUE(LEFT(E67,LEN(E67)-2)),IF(LOWER(E67)="race","race",E67)))))</f>
        <v/>
      </c>
    </row>
    <row r="68" ht="15" customHeight="1" s="21">
      <c r="A68" s="32" t="inlineStr">
        <is>
          <t>First 5K</t>
        </is>
      </c>
      <c r="B68" s="32" t="n">
        <v>3</v>
      </c>
      <c r="C68" s="32" t="inlineStr">
        <is>
          <t>Base</t>
        </is>
      </c>
      <c r="D68" s="35" t="n">
        <v>0.8</v>
      </c>
      <c r="E68" s="32" t="inlineStr">
        <is>
          <t>auto</t>
        </is>
      </c>
      <c r="F68" s="32" t="inlineStr">
        <is>
          <t>Normal</t>
        </is>
      </c>
      <c r="G68" s="32" t="n"/>
      <c r="H68" s="33">
        <f>IF(A68="","",COUNTIFS('Run sessions'!$A$2:$A$401,A68,'Run sessions'!$B$2:$B$401,B68))</f>
        <v/>
      </c>
      <c r="I68" s="33">
        <f>IF(OR(A68="",D68=""),"",IFERROR(ROUND(D68*IF(INDEX(Programmes!$L$2:$L$10,MATCH(A68,Programmes!$A$2:$A$10,0))="",INDEX(Programmes!$K$2:$K$10,MATCH(A68,Programmes!$A$2:$A$10,0)),INDEX(Programmes!$L$2:$L$10,MATCH(A68,Programmes!$A$2:$A$10,0))),1),""))</f>
        <v/>
      </c>
      <c r="J68" s="33">
        <f>IF(I68="","",IF(LOWER(E68)="auto",ROUND(I68*Rules!$C$8,1),IF(RIGHT(E68,1)="%",ROUND(I68*VALUE(LEFT(E68,LEN(E68)-1))/100,1),IF(RIGHT(LOWER(E68),2)="km",VALUE(LEFT(E68,LEN(E68)-2)),IF(LOWER(E68)="race","race",E68)))))</f>
        <v/>
      </c>
    </row>
    <row r="69" ht="15" customHeight="1" s="21">
      <c r="A69" s="32" t="inlineStr">
        <is>
          <t>First 5K</t>
        </is>
      </c>
      <c r="B69" s="32" t="n">
        <v>4</v>
      </c>
      <c r="C69" s="32" t="inlineStr">
        <is>
          <t>Base</t>
        </is>
      </c>
      <c r="D69" s="35" t="n">
        <v>0.85</v>
      </c>
      <c r="E69" s="32" t="inlineStr">
        <is>
          <t>auto</t>
        </is>
      </c>
      <c r="F69" s="32" t="inlineStr">
        <is>
          <t>Light</t>
        </is>
      </c>
      <c r="G69" s="32" t="inlineStr">
        <is>
          <t>Longer runs, fewer walks.</t>
        </is>
      </c>
      <c r="H69" s="33">
        <f>IF(A69="","",COUNTIFS('Run sessions'!$A$2:$A$401,A69,'Run sessions'!$B$2:$B$401,B69))</f>
        <v/>
      </c>
      <c r="I69" s="33">
        <f>IF(OR(A69="",D69=""),"",IFERROR(ROUND(D69*IF(INDEX(Programmes!$L$2:$L$10,MATCH(A69,Programmes!$A$2:$A$10,0))="",INDEX(Programmes!$K$2:$K$10,MATCH(A69,Programmes!$A$2:$A$10,0)),INDEX(Programmes!$L$2:$L$10,MATCH(A69,Programmes!$A$2:$A$10,0))),1),""))</f>
        <v/>
      </c>
      <c r="J69" s="33">
        <f>IF(I69="","",IF(LOWER(E69)="auto",ROUND(I69*Rules!$C$8,1),IF(RIGHT(E69,1)="%",ROUND(I69*VALUE(LEFT(E69,LEN(E69)-1))/100,1),IF(RIGHT(LOWER(E69),2)="km",VALUE(LEFT(E69,LEN(E69)-2)),IF(LOWER(E69)="race","race",E69)))))</f>
        <v/>
      </c>
    </row>
    <row r="70" ht="15" customHeight="1" s="21">
      <c r="A70" s="32" t="inlineStr">
        <is>
          <t>First 5K</t>
        </is>
      </c>
      <c r="B70" s="32" t="n">
        <v>5</v>
      </c>
      <c r="C70" s="32" t="inlineStr">
        <is>
          <t>Build</t>
        </is>
      </c>
      <c r="D70" s="35" t="n">
        <v>0.9</v>
      </c>
      <c r="E70" s="32" t="inlineStr">
        <is>
          <t>auto</t>
        </is>
      </c>
      <c r="F70" s="32" t="inlineStr">
        <is>
          <t>Normal</t>
        </is>
      </c>
      <c r="G70" s="32" t="inlineStr">
        <is>
          <t>A few short pick-ups to wake the legs up.</t>
        </is>
      </c>
      <c r="H70" s="33">
        <f>IF(A70="","",COUNTIFS('Run sessions'!$A$2:$A$401,A70,'Run sessions'!$B$2:$B$401,B70))</f>
        <v/>
      </c>
      <c r="I70" s="33">
        <f>IF(OR(A70="",D70=""),"",IFERROR(ROUND(D70*IF(INDEX(Programmes!$L$2:$L$10,MATCH(A70,Programmes!$A$2:$A$10,0))="",INDEX(Programmes!$K$2:$K$10,MATCH(A70,Programmes!$A$2:$A$10,0)),INDEX(Programmes!$L$2:$L$10,MATCH(A70,Programmes!$A$2:$A$10,0))),1),""))</f>
        <v/>
      </c>
      <c r="J70" s="33">
        <f>IF(I70="","",IF(LOWER(E70)="auto",ROUND(I70*Rules!$C$8,1),IF(RIGHT(E70,1)="%",ROUND(I70*VALUE(LEFT(E70,LEN(E70)-1))/100,1),IF(RIGHT(LOWER(E70),2)="km",VALUE(LEFT(E70,LEN(E70)-2)),IF(LOWER(E70)="race","race",E70)))))</f>
        <v/>
      </c>
    </row>
    <row r="71" ht="15" customHeight="1" s="21">
      <c r="A71" s="32" t="inlineStr">
        <is>
          <t>First 5K</t>
        </is>
      </c>
      <c r="B71" s="32" t="n">
        <v>6</v>
      </c>
      <c r="C71" s="32" t="inlineStr">
        <is>
          <t>Build</t>
        </is>
      </c>
      <c r="D71" s="35" t="n">
        <v>1</v>
      </c>
      <c r="E71" s="32" t="inlineStr">
        <is>
          <t>auto</t>
        </is>
      </c>
      <c r="F71" s="32" t="inlineStr">
        <is>
          <t>Normal</t>
        </is>
      </c>
      <c r="G71" s="32" t="inlineStr">
        <is>
          <t>Your first 20 minutes without stopping.</t>
        </is>
      </c>
      <c r="H71" s="33">
        <f>IF(A71="","",COUNTIFS('Run sessions'!$A$2:$A$401,A71,'Run sessions'!$B$2:$B$401,B71))</f>
        <v/>
      </c>
      <c r="I71" s="33">
        <f>IF(OR(A71="",D71=""),"",IFERROR(ROUND(D71*IF(INDEX(Programmes!$L$2:$L$10,MATCH(A71,Programmes!$A$2:$A$10,0))="",INDEX(Programmes!$K$2:$K$10,MATCH(A71,Programmes!$A$2:$A$10,0)),INDEX(Programmes!$L$2:$L$10,MATCH(A71,Programmes!$A$2:$A$10,0))),1),""))</f>
        <v/>
      </c>
      <c r="J71" s="33">
        <f>IF(I71="","",IF(LOWER(E71)="auto",ROUND(I71*Rules!$C$8,1),IF(RIGHT(E71,1)="%",ROUND(I71*VALUE(LEFT(E71,LEN(E71)-1))/100,1),IF(RIGHT(LOWER(E71),2)="km",VALUE(LEFT(E71,LEN(E71)-2)),IF(LOWER(E71)="race","race",E71)))))</f>
        <v/>
      </c>
    </row>
    <row r="72" ht="15" customHeight="1" s="21">
      <c r="A72" s="32" t="inlineStr">
        <is>
          <t>First 5K</t>
        </is>
      </c>
      <c r="B72" s="32" t="n">
        <v>7</v>
      </c>
      <c r="C72" s="32" t="inlineStr">
        <is>
          <t>Peak</t>
        </is>
      </c>
      <c r="D72" s="35" t="n">
        <v>1.1</v>
      </c>
      <c r="E72" s="32" t="inlineStr">
        <is>
          <t>auto</t>
        </is>
      </c>
      <c r="F72" s="32" t="inlineStr">
        <is>
          <t>Normal</t>
        </is>
      </c>
      <c r="G72" s="32" t="inlineStr">
        <is>
          <t>25 minutes non-stop: you're nearly there.</t>
        </is>
      </c>
      <c r="H72" s="33">
        <f>IF(A72="","",COUNTIFS('Run sessions'!$A$2:$A$401,A72,'Run sessions'!$B$2:$B$401,B72))</f>
        <v/>
      </c>
      <c r="I72" s="33">
        <f>IF(OR(A72="",D72=""),"",IFERROR(ROUND(D72*IF(INDEX(Programmes!$L$2:$L$10,MATCH(A72,Programmes!$A$2:$A$10,0))="",INDEX(Programmes!$K$2:$K$10,MATCH(A72,Programmes!$A$2:$A$10,0)),INDEX(Programmes!$L$2:$L$10,MATCH(A72,Programmes!$A$2:$A$10,0))),1),""))</f>
        <v/>
      </c>
      <c r="J72" s="33">
        <f>IF(I72="","",IF(LOWER(E72)="auto",ROUND(I72*Rules!$C$8,1),IF(RIGHT(E72,1)="%",ROUND(I72*VALUE(LEFT(E72,LEN(E72)-1))/100,1),IF(RIGHT(LOWER(E72),2)="km",VALUE(LEFT(E72,LEN(E72)-2)),IF(LOWER(E72)="race","race",E72)))))</f>
        <v/>
      </c>
    </row>
    <row r="73" ht="15" customHeight="1" s="21">
      <c r="A73" s="32" t="inlineStr">
        <is>
          <t>First 5K</t>
        </is>
      </c>
      <c r="B73" s="32" t="n">
        <v>8</v>
      </c>
      <c r="C73" s="32" t="inlineStr">
        <is>
          <t>Race week</t>
        </is>
      </c>
      <c r="D73" s="35" t="n">
        <v>0.8</v>
      </c>
      <c r="E73" s="32" t="inlineStr">
        <is>
          <t>Race</t>
        </is>
      </c>
      <c r="F73" s="32" t="inlineStr">
        <is>
          <t>None</t>
        </is>
      </c>
      <c r="G73" s="32" t="inlineStr">
        <is>
          <t>Race day! Run it comfortably and finish strong.</t>
        </is>
      </c>
      <c r="H73" s="33">
        <f>IF(A73="","",COUNTIFS('Run sessions'!$A$2:$A$401,A73,'Run sessions'!$B$2:$B$401,B73))</f>
        <v/>
      </c>
      <c r="I73" s="33">
        <f>IF(OR(A73="",D73=""),"",IFERROR(ROUND(D73*IF(INDEX(Programmes!$L$2:$L$10,MATCH(A73,Programmes!$A$2:$A$10,0))="",INDEX(Programmes!$K$2:$K$10,MATCH(A73,Programmes!$A$2:$A$10,0)),INDEX(Programmes!$L$2:$L$10,MATCH(A73,Programmes!$A$2:$A$10,0))),1),""))</f>
        <v/>
      </c>
      <c r="J73" s="33">
        <f>IF(I73="","",IF(LOWER(E73)="auto",ROUND(I73*Rules!$C$8,1),IF(RIGHT(E73,1)="%",ROUND(I73*VALUE(LEFT(E73,LEN(E73)-1))/100,1),IF(RIGHT(LOWER(E73),2)="km",VALUE(LEFT(E73,LEN(E73)-2)),IF(LOWER(E73)="race","race",E73)))))</f>
        <v/>
      </c>
    </row>
    <row r="74" ht="15" customHeight="1" s="21">
      <c r="A74" s="32" t="n"/>
      <c r="B74" s="32" t="n"/>
      <c r="C74" s="32" t="n"/>
      <c r="D74" s="35" t="n"/>
      <c r="E74" s="32" t="n"/>
      <c r="F74" s="32" t="n"/>
      <c r="G74" s="32" t="n"/>
      <c r="H74" s="33">
        <f>IF(A74="","",COUNTIFS('Run sessions'!$A$2:$A$401,A74,'Run sessions'!$B$2:$B$401,B74))</f>
        <v/>
      </c>
      <c r="I74" s="33">
        <f>IF(OR(A74="",D74=""),"",IFERROR(ROUND(D74*IF(INDEX(Programmes!$L$2:$L$10,MATCH(A74,Programmes!$A$2:$A$10,0))="",INDEX(Programmes!$K$2:$K$10,MATCH(A74,Programmes!$A$2:$A$10,0)),INDEX(Programmes!$L$2:$L$10,MATCH(A74,Programmes!$A$2:$A$10,0))),1),""))</f>
        <v/>
      </c>
      <c r="J74" s="33">
        <f>IF(I74="","",IF(LOWER(E74)="auto",ROUND(I74*Rules!$C$8,1),IF(RIGHT(E74,1)="%",ROUND(I74*VALUE(LEFT(E74,LEN(E74)-1))/100,1),IF(RIGHT(LOWER(E74),2)="km",VALUE(LEFT(E74,LEN(E74)-2)),IF(LOWER(E74)="race","race",E74)))))</f>
        <v/>
      </c>
    </row>
    <row r="75" ht="15" customHeight="1" s="21">
      <c r="A75" s="32" t="n"/>
      <c r="B75" s="32" t="n"/>
      <c r="C75" s="32" t="n"/>
      <c r="D75" s="35" t="n"/>
      <c r="E75" s="32" t="n"/>
      <c r="F75" s="32" t="n"/>
      <c r="G75" s="32" t="n"/>
      <c r="H75" s="33">
        <f>IF(A75="","",COUNTIFS('Run sessions'!$A$2:$A$401,A75,'Run sessions'!$B$2:$B$401,B75))</f>
        <v/>
      </c>
      <c r="I75" s="33">
        <f>IF(OR(A75="",D75=""),"",IFERROR(ROUND(D75*IF(INDEX(Programmes!$L$2:$L$10,MATCH(A75,Programmes!$A$2:$A$10,0))="",INDEX(Programmes!$K$2:$K$10,MATCH(A75,Programmes!$A$2:$A$10,0)),INDEX(Programmes!$L$2:$L$10,MATCH(A75,Programmes!$A$2:$A$10,0))),1),""))</f>
        <v/>
      </c>
      <c r="J75" s="33">
        <f>IF(I75="","",IF(LOWER(E75)="auto",ROUND(I75*Rules!$C$8,1),IF(RIGHT(E75,1)="%",ROUND(I75*VALUE(LEFT(E75,LEN(E75)-1))/100,1),IF(RIGHT(LOWER(E75),2)="km",VALUE(LEFT(E75,LEN(E75)-2)),IF(LOWER(E75)="race","race",E75)))))</f>
        <v/>
      </c>
    </row>
    <row r="76" ht="15" customHeight="1" s="21">
      <c r="A76" s="32" t="n"/>
      <c r="B76" s="32" t="n"/>
      <c r="C76" s="32" t="n"/>
      <c r="D76" s="35" t="n"/>
      <c r="E76" s="32" t="n"/>
      <c r="F76" s="32" t="n"/>
      <c r="G76" s="32" t="n"/>
      <c r="H76" s="33">
        <f>IF(A76="","",COUNTIFS('Run sessions'!$A$2:$A$401,A76,'Run sessions'!$B$2:$B$401,B76))</f>
        <v/>
      </c>
      <c r="I76" s="33">
        <f>IF(OR(A76="",D76=""),"",IFERROR(ROUND(D76*IF(INDEX(Programmes!$L$2:$L$10,MATCH(A76,Programmes!$A$2:$A$10,0))="",INDEX(Programmes!$K$2:$K$10,MATCH(A76,Programmes!$A$2:$A$10,0)),INDEX(Programmes!$L$2:$L$10,MATCH(A76,Programmes!$A$2:$A$10,0))),1),""))</f>
        <v/>
      </c>
      <c r="J76" s="33">
        <f>IF(I76="","",IF(LOWER(E76)="auto",ROUND(I76*Rules!$C$8,1),IF(RIGHT(E76,1)="%",ROUND(I76*VALUE(LEFT(E76,LEN(E76)-1))/100,1),IF(RIGHT(LOWER(E76),2)="km",VALUE(LEFT(E76,LEN(E76)-2)),IF(LOWER(E76)="race","race",E76)))))</f>
        <v/>
      </c>
    </row>
    <row r="77" ht="15" customHeight="1" s="21">
      <c r="A77" s="32" t="n"/>
      <c r="B77" s="32" t="n"/>
      <c r="C77" s="32" t="n"/>
      <c r="D77" s="35" t="n"/>
      <c r="E77" s="32" t="n"/>
      <c r="F77" s="32" t="n"/>
      <c r="G77" s="32" t="n"/>
      <c r="H77" s="33">
        <f>IF(A77="","",COUNTIFS('Run sessions'!$A$2:$A$401,A77,'Run sessions'!$B$2:$B$401,B77))</f>
        <v/>
      </c>
      <c r="I77" s="33">
        <f>IF(OR(A77="",D77=""),"",IFERROR(ROUND(D77*IF(INDEX(Programmes!$L$2:$L$10,MATCH(A77,Programmes!$A$2:$A$10,0))="",INDEX(Programmes!$K$2:$K$10,MATCH(A77,Programmes!$A$2:$A$10,0)),INDEX(Programmes!$L$2:$L$10,MATCH(A77,Programmes!$A$2:$A$10,0))),1),""))</f>
        <v/>
      </c>
      <c r="J77" s="33">
        <f>IF(I77="","",IF(LOWER(E77)="auto",ROUND(I77*Rules!$C$8,1),IF(RIGHT(E77,1)="%",ROUND(I77*VALUE(LEFT(E77,LEN(E77)-1))/100,1),IF(RIGHT(LOWER(E77),2)="km",VALUE(LEFT(E77,LEN(E77)-2)),IF(LOWER(E77)="race","race",E77)))))</f>
        <v/>
      </c>
    </row>
    <row r="78" ht="15" customHeight="1" s="21">
      <c r="A78" s="32" t="n"/>
      <c r="B78" s="32" t="n"/>
      <c r="C78" s="32" t="n"/>
      <c r="D78" s="35" t="n"/>
      <c r="E78" s="32" t="n"/>
      <c r="F78" s="32" t="n"/>
      <c r="G78" s="32" t="n"/>
      <c r="H78" s="33">
        <f>IF(A78="","",COUNTIFS('Run sessions'!$A$2:$A$401,A78,'Run sessions'!$B$2:$B$401,B78))</f>
        <v/>
      </c>
      <c r="I78" s="33">
        <f>IF(OR(A78="",D78=""),"",IFERROR(ROUND(D78*IF(INDEX(Programmes!$L$2:$L$10,MATCH(A78,Programmes!$A$2:$A$10,0))="",INDEX(Programmes!$K$2:$K$10,MATCH(A78,Programmes!$A$2:$A$10,0)),INDEX(Programmes!$L$2:$L$10,MATCH(A78,Programmes!$A$2:$A$10,0))),1),""))</f>
        <v/>
      </c>
      <c r="J78" s="33">
        <f>IF(I78="","",IF(LOWER(E78)="auto",ROUND(I78*Rules!$C$8,1),IF(RIGHT(E78,1)="%",ROUND(I78*VALUE(LEFT(E78,LEN(E78)-1))/100,1),IF(RIGHT(LOWER(E78),2)="km",VALUE(LEFT(E78,LEN(E78)-2)),IF(LOWER(E78)="race","race",E78)))))</f>
        <v/>
      </c>
    </row>
    <row r="79" ht="15" customHeight="1" s="21">
      <c r="A79" s="32" t="n"/>
      <c r="B79" s="32" t="n"/>
      <c r="C79" s="32" t="n"/>
      <c r="D79" s="35" t="n"/>
      <c r="E79" s="32" t="n"/>
      <c r="F79" s="32" t="n"/>
      <c r="G79" s="32" t="n"/>
      <c r="H79" s="33">
        <f>IF(A79="","",COUNTIFS('Run sessions'!$A$2:$A$401,A79,'Run sessions'!$B$2:$B$401,B79))</f>
        <v/>
      </c>
      <c r="I79" s="33">
        <f>IF(OR(A79="",D79=""),"",IFERROR(ROUND(D79*IF(INDEX(Programmes!$L$2:$L$10,MATCH(A79,Programmes!$A$2:$A$10,0))="",INDEX(Programmes!$K$2:$K$10,MATCH(A79,Programmes!$A$2:$A$10,0)),INDEX(Programmes!$L$2:$L$10,MATCH(A79,Programmes!$A$2:$A$10,0))),1),""))</f>
        <v/>
      </c>
      <c r="J79" s="33">
        <f>IF(I79="","",IF(LOWER(E79)="auto",ROUND(I79*Rules!$C$8,1),IF(RIGHT(E79,1)="%",ROUND(I79*VALUE(LEFT(E79,LEN(E79)-1))/100,1),IF(RIGHT(LOWER(E79),2)="km",VALUE(LEFT(E79,LEN(E79)-2)),IF(LOWER(E79)="race","race",E79)))))</f>
        <v/>
      </c>
    </row>
    <row r="80" ht="15" customHeight="1" s="21">
      <c r="A80" s="32" t="n"/>
      <c r="B80" s="32" t="n"/>
      <c r="C80" s="32" t="n"/>
      <c r="D80" s="35" t="n"/>
      <c r="E80" s="32" t="n"/>
      <c r="F80" s="32" t="n"/>
      <c r="G80" s="32" t="n"/>
      <c r="H80" s="33">
        <f>IF(A80="","",COUNTIFS('Run sessions'!$A$2:$A$401,A80,'Run sessions'!$B$2:$B$401,B80))</f>
        <v/>
      </c>
      <c r="I80" s="33">
        <f>IF(OR(A80="",D80=""),"",IFERROR(ROUND(D80*IF(INDEX(Programmes!$L$2:$L$10,MATCH(A80,Programmes!$A$2:$A$10,0))="",INDEX(Programmes!$K$2:$K$10,MATCH(A80,Programmes!$A$2:$A$10,0)),INDEX(Programmes!$L$2:$L$10,MATCH(A80,Programmes!$A$2:$A$10,0))),1),""))</f>
        <v/>
      </c>
      <c r="J80" s="33">
        <f>IF(I80="","",IF(LOWER(E80)="auto",ROUND(I80*Rules!$C$8,1),IF(RIGHT(E80,1)="%",ROUND(I80*VALUE(LEFT(E80,LEN(E80)-1))/100,1),IF(RIGHT(LOWER(E80),2)="km",VALUE(LEFT(E80,LEN(E80)-2)),IF(LOWER(E80)="race","race",E80)))))</f>
        <v/>
      </c>
    </row>
    <row r="81" ht="15" customHeight="1" s="21">
      <c r="A81" s="32" t="n"/>
      <c r="B81" s="32" t="n"/>
      <c r="C81" s="32" t="n"/>
      <c r="D81" s="35" t="n"/>
      <c r="E81" s="32" t="n"/>
      <c r="F81" s="32" t="n"/>
      <c r="G81" s="32" t="n"/>
      <c r="H81" s="33">
        <f>IF(A81="","",COUNTIFS('Run sessions'!$A$2:$A$401,A81,'Run sessions'!$B$2:$B$401,B81))</f>
        <v/>
      </c>
      <c r="I81" s="33">
        <f>IF(OR(A81="",D81=""),"",IFERROR(ROUND(D81*IF(INDEX(Programmes!$L$2:$L$10,MATCH(A81,Programmes!$A$2:$A$10,0))="",INDEX(Programmes!$K$2:$K$10,MATCH(A81,Programmes!$A$2:$A$10,0)),INDEX(Programmes!$L$2:$L$10,MATCH(A81,Programmes!$A$2:$A$10,0))),1),""))</f>
        <v/>
      </c>
      <c r="J81" s="33">
        <f>IF(I81="","",IF(LOWER(E81)="auto",ROUND(I81*Rules!$C$8,1),IF(RIGHT(E81,1)="%",ROUND(I81*VALUE(LEFT(E81,LEN(E81)-1))/100,1),IF(RIGHT(LOWER(E81),2)="km",VALUE(LEFT(E81,LEN(E81)-2)),IF(LOWER(E81)="race","race",E81)))))</f>
        <v/>
      </c>
    </row>
    <row r="82" ht="15" customHeight="1" s="21">
      <c r="A82" s="32" t="n"/>
      <c r="B82" s="32" t="n"/>
      <c r="C82" s="32" t="n"/>
      <c r="D82" s="35" t="n"/>
      <c r="E82" s="32" t="n"/>
      <c r="F82" s="32" t="n"/>
      <c r="G82" s="32" t="n"/>
      <c r="H82" s="33">
        <f>IF(A82="","",COUNTIFS('Run sessions'!$A$2:$A$401,A82,'Run sessions'!$B$2:$B$401,B82))</f>
        <v/>
      </c>
      <c r="I82" s="33">
        <f>IF(OR(A82="",D82=""),"",IFERROR(ROUND(D82*IF(INDEX(Programmes!$L$2:$L$10,MATCH(A82,Programmes!$A$2:$A$10,0))="",INDEX(Programmes!$K$2:$K$10,MATCH(A82,Programmes!$A$2:$A$10,0)),INDEX(Programmes!$L$2:$L$10,MATCH(A82,Programmes!$A$2:$A$10,0))),1),""))</f>
        <v/>
      </c>
      <c r="J82" s="33">
        <f>IF(I82="","",IF(LOWER(E82)="auto",ROUND(I82*Rules!$C$8,1),IF(RIGHT(E82,1)="%",ROUND(I82*VALUE(LEFT(E82,LEN(E82)-1))/100,1),IF(RIGHT(LOWER(E82),2)="km",VALUE(LEFT(E82,LEN(E82)-2)),IF(LOWER(E82)="race","race",E82)))))</f>
        <v/>
      </c>
    </row>
    <row r="83" ht="15" customHeight="1" s="21">
      <c r="A83" s="32" t="n"/>
      <c r="B83" s="32" t="n"/>
      <c r="C83" s="32" t="n"/>
      <c r="D83" s="35" t="n"/>
      <c r="E83" s="32" t="n"/>
      <c r="F83" s="32" t="n"/>
      <c r="G83" s="32" t="n"/>
      <c r="H83" s="33">
        <f>IF(A83="","",COUNTIFS('Run sessions'!$A$2:$A$401,A83,'Run sessions'!$B$2:$B$401,B83))</f>
        <v/>
      </c>
      <c r="I83" s="33">
        <f>IF(OR(A83="",D83=""),"",IFERROR(ROUND(D83*IF(INDEX(Programmes!$L$2:$L$10,MATCH(A83,Programmes!$A$2:$A$10,0))="",INDEX(Programmes!$K$2:$K$10,MATCH(A83,Programmes!$A$2:$A$10,0)),INDEX(Programmes!$L$2:$L$10,MATCH(A83,Programmes!$A$2:$A$10,0))),1),""))</f>
        <v/>
      </c>
      <c r="J83" s="33">
        <f>IF(I83="","",IF(LOWER(E83)="auto",ROUND(I83*Rules!$C$8,1),IF(RIGHT(E83,1)="%",ROUND(I83*VALUE(LEFT(E83,LEN(E83)-1))/100,1),IF(RIGHT(LOWER(E83),2)="km",VALUE(LEFT(E83,LEN(E83)-2)),IF(LOWER(E83)="race","race",E83)))))</f>
        <v/>
      </c>
    </row>
    <row r="84" ht="15" customHeight="1" s="21">
      <c r="A84" s="32" t="n"/>
      <c r="B84" s="32" t="n"/>
      <c r="C84" s="32" t="n"/>
      <c r="D84" s="35" t="n"/>
      <c r="E84" s="32" t="n"/>
      <c r="F84" s="32" t="n"/>
      <c r="G84" s="32" t="n"/>
      <c r="H84" s="33">
        <f>IF(A84="","",COUNTIFS('Run sessions'!$A$2:$A$401,A84,'Run sessions'!$B$2:$B$401,B84))</f>
        <v/>
      </c>
      <c r="I84" s="33">
        <f>IF(OR(A84="",D84=""),"",IFERROR(ROUND(D84*IF(INDEX(Programmes!$L$2:$L$10,MATCH(A84,Programmes!$A$2:$A$10,0))="",INDEX(Programmes!$K$2:$K$10,MATCH(A84,Programmes!$A$2:$A$10,0)),INDEX(Programmes!$L$2:$L$10,MATCH(A84,Programmes!$A$2:$A$10,0))),1),""))</f>
        <v/>
      </c>
      <c r="J84" s="33">
        <f>IF(I84="","",IF(LOWER(E84)="auto",ROUND(I84*Rules!$C$8,1),IF(RIGHT(E84,1)="%",ROUND(I84*VALUE(LEFT(E84,LEN(E84)-1))/100,1),IF(RIGHT(LOWER(E84),2)="km",VALUE(LEFT(E84,LEN(E84)-2)),IF(LOWER(E84)="race","race",E84)))))</f>
        <v/>
      </c>
    </row>
    <row r="85" ht="15" customHeight="1" s="21">
      <c r="A85" s="32" t="n"/>
      <c r="B85" s="32" t="n"/>
      <c r="C85" s="32" t="n"/>
      <c r="D85" s="35" t="n"/>
      <c r="E85" s="32" t="n"/>
      <c r="F85" s="32" t="n"/>
      <c r="G85" s="32" t="n"/>
      <c r="H85" s="33">
        <f>IF(A85="","",COUNTIFS('Run sessions'!$A$2:$A$401,A85,'Run sessions'!$B$2:$B$401,B85))</f>
        <v/>
      </c>
      <c r="I85" s="33">
        <f>IF(OR(A85="",D85=""),"",IFERROR(ROUND(D85*IF(INDEX(Programmes!$L$2:$L$10,MATCH(A85,Programmes!$A$2:$A$10,0))="",INDEX(Programmes!$K$2:$K$10,MATCH(A85,Programmes!$A$2:$A$10,0)),INDEX(Programmes!$L$2:$L$10,MATCH(A85,Programmes!$A$2:$A$10,0))),1),""))</f>
        <v/>
      </c>
      <c r="J85" s="33">
        <f>IF(I85="","",IF(LOWER(E85)="auto",ROUND(I85*Rules!$C$8,1),IF(RIGHT(E85,1)="%",ROUND(I85*VALUE(LEFT(E85,LEN(E85)-1))/100,1),IF(RIGHT(LOWER(E85),2)="km",VALUE(LEFT(E85,LEN(E85)-2)),IF(LOWER(E85)="race","race",E85)))))</f>
        <v/>
      </c>
    </row>
    <row r="86" ht="15" customHeight="1" s="21">
      <c r="A86" s="32" t="n"/>
      <c r="B86" s="32" t="n"/>
      <c r="C86" s="32" t="n"/>
      <c r="D86" s="35" t="n"/>
      <c r="E86" s="32" t="n"/>
      <c r="F86" s="32" t="n"/>
      <c r="G86" s="32" t="n"/>
      <c r="H86" s="33">
        <f>IF(A86="","",COUNTIFS('Run sessions'!$A$2:$A$401,A86,'Run sessions'!$B$2:$B$401,B86))</f>
        <v/>
      </c>
      <c r="I86" s="33">
        <f>IF(OR(A86="",D86=""),"",IFERROR(ROUND(D86*IF(INDEX(Programmes!$L$2:$L$10,MATCH(A86,Programmes!$A$2:$A$10,0))="",INDEX(Programmes!$K$2:$K$10,MATCH(A86,Programmes!$A$2:$A$10,0)),INDEX(Programmes!$L$2:$L$10,MATCH(A86,Programmes!$A$2:$A$10,0))),1),""))</f>
        <v/>
      </c>
      <c r="J86" s="33">
        <f>IF(I86="","",IF(LOWER(E86)="auto",ROUND(I86*Rules!$C$8,1),IF(RIGHT(E86,1)="%",ROUND(I86*VALUE(LEFT(E86,LEN(E86)-1))/100,1),IF(RIGHT(LOWER(E86),2)="km",VALUE(LEFT(E86,LEN(E86)-2)),IF(LOWER(E86)="race","race",E86)))))</f>
        <v/>
      </c>
    </row>
    <row r="87" ht="15" customHeight="1" s="21">
      <c r="A87" s="32" t="n"/>
      <c r="B87" s="32" t="n"/>
      <c r="C87" s="32" t="n"/>
      <c r="D87" s="35" t="n"/>
      <c r="E87" s="32" t="n"/>
      <c r="F87" s="32" t="n"/>
      <c r="G87" s="32" t="n"/>
      <c r="H87" s="33">
        <f>IF(A87="","",COUNTIFS('Run sessions'!$A$2:$A$401,A87,'Run sessions'!$B$2:$B$401,B87))</f>
        <v/>
      </c>
      <c r="I87" s="33">
        <f>IF(OR(A87="",D87=""),"",IFERROR(ROUND(D87*IF(INDEX(Programmes!$L$2:$L$10,MATCH(A87,Programmes!$A$2:$A$10,0))="",INDEX(Programmes!$K$2:$K$10,MATCH(A87,Programmes!$A$2:$A$10,0)),INDEX(Programmes!$L$2:$L$10,MATCH(A87,Programmes!$A$2:$A$10,0))),1),""))</f>
        <v/>
      </c>
      <c r="J87" s="33">
        <f>IF(I87="","",IF(LOWER(E87)="auto",ROUND(I87*Rules!$C$8,1),IF(RIGHT(E87,1)="%",ROUND(I87*VALUE(LEFT(E87,LEN(E87)-1))/100,1),IF(RIGHT(LOWER(E87),2)="km",VALUE(LEFT(E87,LEN(E87)-2)),IF(LOWER(E87)="race","race",E87)))))</f>
        <v/>
      </c>
    </row>
    <row r="88" ht="15" customHeight="1" s="21">
      <c r="A88" s="32" t="n"/>
      <c r="B88" s="32" t="n"/>
      <c r="C88" s="32" t="n"/>
      <c r="D88" s="35" t="n"/>
      <c r="E88" s="32" t="n"/>
      <c r="F88" s="32" t="n"/>
      <c r="G88" s="32" t="n"/>
      <c r="H88" s="33">
        <f>IF(A88="","",COUNTIFS('Run sessions'!$A$2:$A$401,A88,'Run sessions'!$B$2:$B$401,B88))</f>
        <v/>
      </c>
      <c r="I88" s="33">
        <f>IF(OR(A88="",D88=""),"",IFERROR(ROUND(D88*IF(INDEX(Programmes!$L$2:$L$10,MATCH(A88,Programmes!$A$2:$A$10,0))="",INDEX(Programmes!$K$2:$K$10,MATCH(A88,Programmes!$A$2:$A$10,0)),INDEX(Programmes!$L$2:$L$10,MATCH(A88,Programmes!$A$2:$A$10,0))),1),""))</f>
        <v/>
      </c>
      <c r="J88" s="33">
        <f>IF(I88="","",IF(LOWER(E88)="auto",ROUND(I88*Rules!$C$8,1),IF(RIGHT(E88,1)="%",ROUND(I88*VALUE(LEFT(E88,LEN(E88)-1))/100,1),IF(RIGHT(LOWER(E88),2)="km",VALUE(LEFT(E88,LEN(E88)-2)),IF(LOWER(E88)="race","race",E88)))))</f>
        <v/>
      </c>
    </row>
    <row r="89" ht="15" customHeight="1" s="21">
      <c r="A89" s="32" t="n"/>
      <c r="B89" s="32" t="n"/>
      <c r="C89" s="32" t="n"/>
      <c r="D89" s="35" t="n"/>
      <c r="E89" s="32" t="n"/>
      <c r="F89" s="32" t="n"/>
      <c r="G89" s="32" t="n"/>
      <c r="H89" s="33">
        <f>IF(A89="","",COUNTIFS('Run sessions'!$A$2:$A$401,A89,'Run sessions'!$B$2:$B$401,B89))</f>
        <v/>
      </c>
      <c r="I89" s="33">
        <f>IF(OR(A89="",D89=""),"",IFERROR(ROUND(D89*IF(INDEX(Programmes!$L$2:$L$10,MATCH(A89,Programmes!$A$2:$A$10,0))="",INDEX(Programmes!$K$2:$K$10,MATCH(A89,Programmes!$A$2:$A$10,0)),INDEX(Programmes!$L$2:$L$10,MATCH(A89,Programmes!$A$2:$A$10,0))),1),""))</f>
        <v/>
      </c>
      <c r="J89" s="33">
        <f>IF(I89="","",IF(LOWER(E89)="auto",ROUND(I89*Rules!$C$8,1),IF(RIGHT(E89,1)="%",ROUND(I89*VALUE(LEFT(E89,LEN(E89)-1))/100,1),IF(RIGHT(LOWER(E89),2)="km",VALUE(LEFT(E89,LEN(E89)-2)),IF(LOWER(E89)="race","race",E89)))))</f>
        <v/>
      </c>
    </row>
    <row r="90" ht="15" customHeight="1" s="21">
      <c r="A90" s="32" t="n"/>
      <c r="B90" s="32" t="n"/>
      <c r="C90" s="32" t="n"/>
      <c r="D90" s="35" t="n"/>
      <c r="E90" s="32" t="n"/>
      <c r="F90" s="32" t="n"/>
      <c r="G90" s="32" t="n"/>
      <c r="H90" s="33">
        <f>IF(A90="","",COUNTIFS('Run sessions'!$A$2:$A$401,A90,'Run sessions'!$B$2:$B$401,B90))</f>
        <v/>
      </c>
      <c r="I90" s="33">
        <f>IF(OR(A90="",D90=""),"",IFERROR(ROUND(D90*IF(INDEX(Programmes!$L$2:$L$10,MATCH(A90,Programmes!$A$2:$A$10,0))="",INDEX(Programmes!$K$2:$K$10,MATCH(A90,Programmes!$A$2:$A$10,0)),INDEX(Programmes!$L$2:$L$10,MATCH(A90,Programmes!$A$2:$A$10,0))),1),""))</f>
        <v/>
      </c>
      <c r="J90" s="33">
        <f>IF(I90="","",IF(LOWER(E90)="auto",ROUND(I90*Rules!$C$8,1),IF(RIGHT(E90,1)="%",ROUND(I90*VALUE(LEFT(E90,LEN(E90)-1))/100,1),IF(RIGHT(LOWER(E90),2)="km",VALUE(LEFT(E90,LEN(E90)-2)),IF(LOWER(E90)="race","race",E90)))))</f>
        <v/>
      </c>
    </row>
    <row r="91" ht="15" customHeight="1" s="21">
      <c r="A91" s="32" t="n"/>
      <c r="B91" s="32" t="n"/>
      <c r="C91" s="32" t="n"/>
      <c r="D91" s="35" t="n"/>
      <c r="E91" s="32" t="n"/>
      <c r="F91" s="32" t="n"/>
      <c r="G91" s="32" t="n"/>
      <c r="H91" s="33">
        <f>IF(A91="","",COUNTIFS('Run sessions'!$A$2:$A$401,A91,'Run sessions'!$B$2:$B$401,B91))</f>
        <v/>
      </c>
      <c r="I91" s="33">
        <f>IF(OR(A91="",D91=""),"",IFERROR(ROUND(D91*IF(INDEX(Programmes!$L$2:$L$10,MATCH(A91,Programmes!$A$2:$A$10,0))="",INDEX(Programmes!$K$2:$K$10,MATCH(A91,Programmes!$A$2:$A$10,0)),INDEX(Programmes!$L$2:$L$10,MATCH(A91,Programmes!$A$2:$A$10,0))),1),""))</f>
        <v/>
      </c>
      <c r="J91" s="33">
        <f>IF(I91="","",IF(LOWER(E91)="auto",ROUND(I91*Rules!$C$8,1),IF(RIGHT(E91,1)="%",ROUND(I91*VALUE(LEFT(E91,LEN(E91)-1))/100,1),IF(RIGHT(LOWER(E91),2)="km",VALUE(LEFT(E91,LEN(E91)-2)),IF(LOWER(E91)="race","race",E91)))))</f>
        <v/>
      </c>
    </row>
    <row r="92" ht="15" customHeight="1" s="21">
      <c r="A92" s="32" t="n"/>
      <c r="B92" s="32" t="n"/>
      <c r="C92" s="32" t="n"/>
      <c r="D92" s="35" t="n"/>
      <c r="E92" s="32" t="n"/>
      <c r="F92" s="32" t="n"/>
      <c r="G92" s="32" t="n"/>
      <c r="H92" s="33">
        <f>IF(A92="","",COUNTIFS('Run sessions'!$A$2:$A$401,A92,'Run sessions'!$B$2:$B$401,B92))</f>
        <v/>
      </c>
      <c r="I92" s="33">
        <f>IF(OR(A92="",D92=""),"",IFERROR(ROUND(D92*IF(INDEX(Programmes!$L$2:$L$10,MATCH(A92,Programmes!$A$2:$A$10,0))="",INDEX(Programmes!$K$2:$K$10,MATCH(A92,Programmes!$A$2:$A$10,0)),INDEX(Programmes!$L$2:$L$10,MATCH(A92,Programmes!$A$2:$A$10,0))),1),""))</f>
        <v/>
      </c>
      <c r="J92" s="33">
        <f>IF(I92="","",IF(LOWER(E92)="auto",ROUND(I92*Rules!$C$8,1),IF(RIGHT(E92,1)="%",ROUND(I92*VALUE(LEFT(E92,LEN(E92)-1))/100,1),IF(RIGHT(LOWER(E92),2)="km",VALUE(LEFT(E92,LEN(E92)-2)),IF(LOWER(E92)="race","race",E92)))))</f>
        <v/>
      </c>
    </row>
    <row r="93" ht="15" customHeight="1" s="21">
      <c r="A93" s="32" t="n"/>
      <c r="B93" s="32" t="n"/>
      <c r="C93" s="32" t="n"/>
      <c r="D93" s="35" t="n"/>
      <c r="E93" s="32" t="n"/>
      <c r="F93" s="32" t="n"/>
      <c r="G93" s="32" t="n"/>
      <c r="H93" s="33">
        <f>IF(A93="","",COUNTIFS('Run sessions'!$A$2:$A$401,A93,'Run sessions'!$B$2:$B$401,B93))</f>
        <v/>
      </c>
      <c r="I93" s="33">
        <f>IF(OR(A93="",D93=""),"",IFERROR(ROUND(D93*IF(INDEX(Programmes!$L$2:$L$10,MATCH(A93,Programmes!$A$2:$A$10,0))="",INDEX(Programmes!$K$2:$K$10,MATCH(A93,Programmes!$A$2:$A$10,0)),INDEX(Programmes!$L$2:$L$10,MATCH(A93,Programmes!$A$2:$A$10,0))),1),""))</f>
        <v/>
      </c>
      <c r="J93" s="33">
        <f>IF(I93="","",IF(LOWER(E93)="auto",ROUND(I93*Rules!$C$8,1),IF(RIGHT(E93,1)="%",ROUND(I93*VALUE(LEFT(E93,LEN(E93)-1))/100,1),IF(RIGHT(LOWER(E93),2)="km",VALUE(LEFT(E93,LEN(E93)-2)),IF(LOWER(E93)="race","race",E93)))))</f>
        <v/>
      </c>
    </row>
    <row r="94" ht="15" customHeight="1" s="21">
      <c r="A94" s="32" t="n"/>
      <c r="B94" s="32" t="n"/>
      <c r="C94" s="32" t="n"/>
      <c r="D94" s="35" t="n"/>
      <c r="E94" s="32" t="n"/>
      <c r="F94" s="32" t="n"/>
      <c r="G94" s="32" t="n"/>
      <c r="H94" s="33">
        <f>IF(A94="","",COUNTIFS('Run sessions'!$A$2:$A$401,A94,'Run sessions'!$B$2:$B$401,B94))</f>
        <v/>
      </c>
      <c r="I94" s="33">
        <f>IF(OR(A94="",D94=""),"",IFERROR(ROUND(D94*IF(INDEX(Programmes!$L$2:$L$10,MATCH(A94,Programmes!$A$2:$A$10,0))="",INDEX(Programmes!$K$2:$K$10,MATCH(A94,Programmes!$A$2:$A$10,0)),INDEX(Programmes!$L$2:$L$10,MATCH(A94,Programmes!$A$2:$A$10,0))),1),""))</f>
        <v/>
      </c>
      <c r="J94" s="33">
        <f>IF(I94="","",IF(LOWER(E94)="auto",ROUND(I94*Rules!$C$8,1),IF(RIGHT(E94,1)="%",ROUND(I94*VALUE(LEFT(E94,LEN(E94)-1))/100,1),IF(RIGHT(LOWER(E94),2)="km",VALUE(LEFT(E94,LEN(E94)-2)),IF(LOWER(E94)="race","race",E94)))))</f>
        <v/>
      </c>
    </row>
    <row r="95" ht="15" customHeight="1" s="21">
      <c r="A95" s="32" t="n"/>
      <c r="B95" s="32" t="n"/>
      <c r="C95" s="32" t="n"/>
      <c r="D95" s="35" t="n"/>
      <c r="E95" s="32" t="n"/>
      <c r="F95" s="32" t="n"/>
      <c r="G95" s="32" t="n"/>
      <c r="H95" s="33">
        <f>IF(A95="","",COUNTIFS('Run sessions'!$A$2:$A$401,A95,'Run sessions'!$B$2:$B$401,B95))</f>
        <v/>
      </c>
      <c r="I95" s="33">
        <f>IF(OR(A95="",D95=""),"",IFERROR(ROUND(D95*IF(INDEX(Programmes!$L$2:$L$10,MATCH(A95,Programmes!$A$2:$A$10,0))="",INDEX(Programmes!$K$2:$K$10,MATCH(A95,Programmes!$A$2:$A$10,0)),INDEX(Programmes!$L$2:$L$10,MATCH(A95,Programmes!$A$2:$A$10,0))),1),""))</f>
        <v/>
      </c>
      <c r="J95" s="33">
        <f>IF(I95="","",IF(LOWER(E95)="auto",ROUND(I95*Rules!$C$8,1),IF(RIGHT(E95,1)="%",ROUND(I95*VALUE(LEFT(E95,LEN(E95)-1))/100,1),IF(RIGHT(LOWER(E95),2)="km",VALUE(LEFT(E95,LEN(E95)-2)),IF(LOWER(E95)="race","race",E95)))))</f>
        <v/>
      </c>
    </row>
    <row r="96" ht="15" customHeight="1" s="21">
      <c r="A96" s="32" t="n"/>
      <c r="B96" s="32" t="n"/>
      <c r="C96" s="32" t="n"/>
      <c r="D96" s="35" t="n"/>
      <c r="E96" s="32" t="n"/>
      <c r="F96" s="32" t="n"/>
      <c r="G96" s="32" t="n"/>
      <c r="H96" s="33">
        <f>IF(A96="","",COUNTIFS('Run sessions'!$A$2:$A$401,A96,'Run sessions'!$B$2:$B$401,B96))</f>
        <v/>
      </c>
      <c r="I96" s="33">
        <f>IF(OR(A96="",D96=""),"",IFERROR(ROUND(D96*IF(INDEX(Programmes!$L$2:$L$10,MATCH(A96,Programmes!$A$2:$A$10,0))="",INDEX(Programmes!$K$2:$K$10,MATCH(A96,Programmes!$A$2:$A$10,0)),INDEX(Programmes!$L$2:$L$10,MATCH(A96,Programmes!$A$2:$A$10,0))),1),""))</f>
        <v/>
      </c>
      <c r="J96" s="33">
        <f>IF(I96="","",IF(LOWER(E96)="auto",ROUND(I96*Rules!$C$8,1),IF(RIGHT(E96,1)="%",ROUND(I96*VALUE(LEFT(E96,LEN(E96)-1))/100,1),IF(RIGHT(LOWER(E96),2)="km",VALUE(LEFT(E96,LEN(E96)-2)),IF(LOWER(E96)="race","race",E96)))))</f>
        <v/>
      </c>
    </row>
    <row r="97" ht="15" customHeight="1" s="21">
      <c r="A97" s="32" t="n"/>
      <c r="B97" s="32" t="n"/>
      <c r="C97" s="32" t="n"/>
      <c r="D97" s="35" t="n"/>
      <c r="E97" s="32" t="n"/>
      <c r="F97" s="32" t="n"/>
      <c r="G97" s="32" t="n"/>
      <c r="H97" s="33">
        <f>IF(A97="","",COUNTIFS('Run sessions'!$A$2:$A$401,A97,'Run sessions'!$B$2:$B$401,B97))</f>
        <v/>
      </c>
      <c r="I97" s="33">
        <f>IF(OR(A97="",D97=""),"",IFERROR(ROUND(D97*IF(INDEX(Programmes!$L$2:$L$10,MATCH(A97,Programmes!$A$2:$A$10,0))="",INDEX(Programmes!$K$2:$K$10,MATCH(A97,Programmes!$A$2:$A$10,0)),INDEX(Programmes!$L$2:$L$10,MATCH(A97,Programmes!$A$2:$A$10,0))),1),""))</f>
        <v/>
      </c>
      <c r="J97" s="33">
        <f>IF(I97="","",IF(LOWER(E97)="auto",ROUND(I97*Rules!$C$8,1),IF(RIGHT(E97,1)="%",ROUND(I97*VALUE(LEFT(E97,LEN(E97)-1))/100,1),IF(RIGHT(LOWER(E97),2)="km",VALUE(LEFT(E97,LEN(E97)-2)),IF(LOWER(E97)="race","race",E97)))))</f>
        <v/>
      </c>
    </row>
    <row r="98" ht="15" customHeight="1" s="21">
      <c r="A98" s="32" t="n"/>
      <c r="B98" s="32" t="n"/>
      <c r="C98" s="32" t="n"/>
      <c r="D98" s="35" t="n"/>
      <c r="E98" s="32" t="n"/>
      <c r="F98" s="32" t="n"/>
      <c r="G98" s="32" t="n"/>
      <c r="H98" s="33">
        <f>IF(A98="","",COUNTIFS('Run sessions'!$A$2:$A$401,A98,'Run sessions'!$B$2:$B$401,B98))</f>
        <v/>
      </c>
      <c r="I98" s="33">
        <f>IF(OR(A98="",D98=""),"",IFERROR(ROUND(D98*IF(INDEX(Programmes!$L$2:$L$10,MATCH(A98,Programmes!$A$2:$A$10,0))="",INDEX(Programmes!$K$2:$K$10,MATCH(A98,Programmes!$A$2:$A$10,0)),INDEX(Programmes!$L$2:$L$10,MATCH(A98,Programmes!$A$2:$A$10,0))),1),""))</f>
        <v/>
      </c>
      <c r="J98" s="33">
        <f>IF(I98="","",IF(LOWER(E98)="auto",ROUND(I98*Rules!$C$8,1),IF(RIGHT(E98,1)="%",ROUND(I98*VALUE(LEFT(E98,LEN(E98)-1))/100,1),IF(RIGHT(LOWER(E98),2)="km",VALUE(LEFT(E98,LEN(E98)-2)),IF(LOWER(E98)="race","race",E98)))))</f>
        <v/>
      </c>
    </row>
    <row r="99" ht="15" customHeight="1" s="21">
      <c r="A99" s="32" t="n"/>
      <c r="B99" s="32" t="n"/>
      <c r="C99" s="32" t="n"/>
      <c r="D99" s="35" t="n"/>
      <c r="E99" s="32" t="n"/>
      <c r="F99" s="32" t="n"/>
      <c r="G99" s="32" t="n"/>
      <c r="H99" s="33">
        <f>IF(A99="","",COUNTIFS('Run sessions'!$A$2:$A$401,A99,'Run sessions'!$B$2:$B$401,B99))</f>
        <v/>
      </c>
      <c r="I99" s="33">
        <f>IF(OR(A99="",D99=""),"",IFERROR(ROUND(D99*IF(INDEX(Programmes!$L$2:$L$10,MATCH(A99,Programmes!$A$2:$A$10,0))="",INDEX(Programmes!$K$2:$K$10,MATCH(A99,Programmes!$A$2:$A$10,0)),INDEX(Programmes!$L$2:$L$10,MATCH(A99,Programmes!$A$2:$A$10,0))),1),""))</f>
        <v/>
      </c>
      <c r="J99" s="33">
        <f>IF(I99="","",IF(LOWER(E99)="auto",ROUND(I99*Rules!$C$8,1),IF(RIGHT(E99,1)="%",ROUND(I99*VALUE(LEFT(E99,LEN(E99)-1))/100,1),IF(RIGHT(LOWER(E99),2)="km",VALUE(LEFT(E99,LEN(E99)-2)),IF(LOWER(E99)="race","race",E99)))))</f>
        <v/>
      </c>
    </row>
    <row r="100" ht="15" customHeight="1" s="21">
      <c r="A100" s="32" t="n"/>
      <c r="B100" s="32" t="n"/>
      <c r="C100" s="32" t="n"/>
      <c r="D100" s="35" t="n"/>
      <c r="E100" s="32" t="n"/>
      <c r="F100" s="32" t="n"/>
      <c r="G100" s="32" t="n"/>
      <c r="H100" s="33">
        <f>IF(A100="","",COUNTIFS('Run sessions'!$A$2:$A$401,A100,'Run sessions'!$B$2:$B$401,B100))</f>
        <v/>
      </c>
      <c r="I100" s="33">
        <f>IF(OR(A100="",D100=""),"",IFERROR(ROUND(D100*IF(INDEX(Programmes!$L$2:$L$10,MATCH(A100,Programmes!$A$2:$A$10,0))="",INDEX(Programmes!$K$2:$K$10,MATCH(A100,Programmes!$A$2:$A$10,0)),INDEX(Programmes!$L$2:$L$10,MATCH(A100,Programmes!$A$2:$A$10,0))),1),""))</f>
        <v/>
      </c>
      <c r="J100" s="33">
        <f>IF(I100="","",IF(LOWER(E100)="auto",ROUND(I100*Rules!$C$8,1),IF(RIGHT(E100,1)="%",ROUND(I100*VALUE(LEFT(E100,LEN(E100)-1))/100,1),IF(RIGHT(LOWER(E100),2)="km",VALUE(LEFT(E100,LEN(E100)-2)),IF(LOWER(E100)="race","race",E100)))))</f>
        <v/>
      </c>
    </row>
    <row r="101" ht="15" customHeight="1" s="21">
      <c r="A101" s="32" t="n"/>
      <c r="B101" s="32" t="n"/>
      <c r="C101" s="32" t="n"/>
      <c r="D101" s="35" t="n"/>
      <c r="E101" s="32" t="n"/>
      <c r="F101" s="32" t="n"/>
      <c r="G101" s="32" t="n"/>
      <c r="H101" s="33">
        <f>IF(A101="","",COUNTIFS('Run sessions'!$A$2:$A$401,A101,'Run sessions'!$B$2:$B$401,B101))</f>
        <v/>
      </c>
      <c r="I101" s="33">
        <f>IF(OR(A101="",D101=""),"",IFERROR(ROUND(D101*IF(INDEX(Programmes!$L$2:$L$10,MATCH(A101,Programmes!$A$2:$A$10,0))="",INDEX(Programmes!$K$2:$K$10,MATCH(A101,Programmes!$A$2:$A$10,0)),INDEX(Programmes!$L$2:$L$10,MATCH(A101,Programmes!$A$2:$A$10,0))),1),""))</f>
        <v/>
      </c>
      <c r="J101" s="33">
        <f>IF(I101="","",IF(LOWER(E101)="auto",ROUND(I101*Rules!$C$8,1),IF(RIGHT(E101,1)="%",ROUND(I101*VALUE(LEFT(E101,LEN(E101)-1))/100,1),IF(RIGHT(LOWER(E101),2)="km",VALUE(LEFT(E101,LEN(E101)-2)),IF(LOWER(E101)="race","race",E101)))))</f>
        <v/>
      </c>
    </row>
    <row r="102" ht="15" customHeight="1" s="21">
      <c r="A102" s="32" t="n"/>
      <c r="B102" s="32" t="n"/>
      <c r="C102" s="32" t="n"/>
      <c r="D102" s="35" t="n"/>
      <c r="E102" s="32" t="n"/>
      <c r="F102" s="32" t="n"/>
      <c r="G102" s="32" t="n"/>
      <c r="H102" s="33">
        <f>IF(A102="","",COUNTIFS('Run sessions'!$A$2:$A$401,A102,'Run sessions'!$B$2:$B$401,B102))</f>
        <v/>
      </c>
      <c r="I102" s="33">
        <f>IF(OR(A102="",D102=""),"",IFERROR(ROUND(D102*IF(INDEX(Programmes!$L$2:$L$10,MATCH(A102,Programmes!$A$2:$A$10,0))="",INDEX(Programmes!$K$2:$K$10,MATCH(A102,Programmes!$A$2:$A$10,0)),INDEX(Programmes!$L$2:$L$10,MATCH(A102,Programmes!$A$2:$A$10,0))),1),""))</f>
        <v/>
      </c>
      <c r="J102" s="33">
        <f>IF(I102="","",IF(LOWER(E102)="auto",ROUND(I102*Rules!$C$8,1),IF(RIGHT(E102,1)="%",ROUND(I102*VALUE(LEFT(E102,LEN(E102)-1))/100,1),IF(RIGHT(LOWER(E102),2)="km",VALUE(LEFT(E102,LEN(E102)-2)),IF(LOWER(E102)="race","race",E102)))))</f>
        <v/>
      </c>
    </row>
    <row r="103" ht="15" customHeight="1" s="21">
      <c r="A103" s="32" t="n"/>
      <c r="B103" s="32" t="n"/>
      <c r="C103" s="32" t="n"/>
      <c r="D103" s="35" t="n"/>
      <c r="E103" s="32" t="n"/>
      <c r="F103" s="32" t="n"/>
      <c r="G103" s="32" t="n"/>
      <c r="H103" s="33">
        <f>IF(A103="","",COUNTIFS('Run sessions'!$A$2:$A$401,A103,'Run sessions'!$B$2:$B$401,B103))</f>
        <v/>
      </c>
      <c r="I103" s="33">
        <f>IF(OR(A103="",D103=""),"",IFERROR(ROUND(D103*IF(INDEX(Programmes!$L$2:$L$10,MATCH(A103,Programmes!$A$2:$A$10,0))="",INDEX(Programmes!$K$2:$K$10,MATCH(A103,Programmes!$A$2:$A$10,0)),INDEX(Programmes!$L$2:$L$10,MATCH(A103,Programmes!$A$2:$A$10,0))),1),""))</f>
        <v/>
      </c>
      <c r="J103" s="33">
        <f>IF(I103="","",IF(LOWER(E103)="auto",ROUND(I103*Rules!$C$8,1),IF(RIGHT(E103,1)="%",ROUND(I103*VALUE(LEFT(E103,LEN(E103)-1))/100,1),IF(RIGHT(LOWER(E103),2)="km",VALUE(LEFT(E103,LEN(E103)-2)),IF(LOWER(E103)="race","race",E103)))))</f>
        <v/>
      </c>
    </row>
    <row r="104" ht="15" customHeight="1" s="21">
      <c r="A104" s="32" t="n"/>
      <c r="B104" s="32" t="n"/>
      <c r="C104" s="32" t="n"/>
      <c r="D104" s="35" t="n"/>
      <c r="E104" s="32" t="n"/>
      <c r="F104" s="32" t="n"/>
      <c r="G104" s="32" t="n"/>
      <c r="H104" s="33">
        <f>IF(A104="","",COUNTIFS('Run sessions'!$A$2:$A$401,A104,'Run sessions'!$B$2:$B$401,B104))</f>
        <v/>
      </c>
      <c r="I104" s="33">
        <f>IF(OR(A104="",D104=""),"",IFERROR(ROUND(D104*IF(INDEX(Programmes!$L$2:$L$10,MATCH(A104,Programmes!$A$2:$A$10,0))="",INDEX(Programmes!$K$2:$K$10,MATCH(A104,Programmes!$A$2:$A$10,0)),INDEX(Programmes!$L$2:$L$10,MATCH(A104,Programmes!$A$2:$A$10,0))),1),""))</f>
        <v/>
      </c>
      <c r="J104" s="33">
        <f>IF(I104="","",IF(LOWER(E104)="auto",ROUND(I104*Rules!$C$8,1),IF(RIGHT(E104,1)="%",ROUND(I104*VALUE(LEFT(E104,LEN(E104)-1))/100,1),IF(RIGHT(LOWER(E104),2)="km",VALUE(LEFT(E104,LEN(E104)-2)),IF(LOWER(E104)="race","race",E104)))))</f>
        <v/>
      </c>
    </row>
    <row r="105" ht="15" customHeight="1" s="21">
      <c r="A105" s="32" t="n"/>
      <c r="B105" s="32" t="n"/>
      <c r="C105" s="32" t="n"/>
      <c r="D105" s="35" t="n"/>
      <c r="E105" s="32" t="n"/>
      <c r="F105" s="32" t="n"/>
      <c r="G105" s="32" t="n"/>
      <c r="H105" s="33">
        <f>IF(A105="","",COUNTIFS('Run sessions'!$A$2:$A$401,A105,'Run sessions'!$B$2:$B$401,B105))</f>
        <v/>
      </c>
      <c r="I105" s="33">
        <f>IF(OR(A105="",D105=""),"",IFERROR(ROUND(D105*IF(INDEX(Programmes!$L$2:$L$10,MATCH(A105,Programmes!$A$2:$A$10,0))="",INDEX(Programmes!$K$2:$K$10,MATCH(A105,Programmes!$A$2:$A$10,0)),INDEX(Programmes!$L$2:$L$10,MATCH(A105,Programmes!$A$2:$A$10,0))),1),""))</f>
        <v/>
      </c>
      <c r="J105" s="33">
        <f>IF(I105="","",IF(LOWER(E105)="auto",ROUND(I105*Rules!$C$8,1),IF(RIGHT(E105,1)="%",ROUND(I105*VALUE(LEFT(E105,LEN(E105)-1))/100,1),IF(RIGHT(LOWER(E105),2)="km",VALUE(LEFT(E105,LEN(E105)-2)),IF(LOWER(E105)="race","race",E105)))))</f>
        <v/>
      </c>
    </row>
    <row r="106" ht="15" customHeight="1" s="21">
      <c r="A106" s="32" t="n"/>
      <c r="B106" s="32" t="n"/>
      <c r="C106" s="32" t="n"/>
      <c r="D106" s="35" t="n"/>
      <c r="E106" s="32" t="n"/>
      <c r="F106" s="32" t="n"/>
      <c r="G106" s="32" t="n"/>
      <c r="H106" s="33">
        <f>IF(A106="","",COUNTIFS('Run sessions'!$A$2:$A$401,A106,'Run sessions'!$B$2:$B$401,B106))</f>
        <v/>
      </c>
      <c r="I106" s="33">
        <f>IF(OR(A106="",D106=""),"",IFERROR(ROUND(D106*IF(INDEX(Programmes!$L$2:$L$10,MATCH(A106,Programmes!$A$2:$A$10,0))="",INDEX(Programmes!$K$2:$K$10,MATCH(A106,Programmes!$A$2:$A$10,0)),INDEX(Programmes!$L$2:$L$10,MATCH(A106,Programmes!$A$2:$A$10,0))),1),""))</f>
        <v/>
      </c>
      <c r="J106" s="33">
        <f>IF(I106="","",IF(LOWER(E106)="auto",ROUND(I106*Rules!$C$8,1),IF(RIGHT(E106,1)="%",ROUND(I106*VALUE(LEFT(E106,LEN(E106)-1))/100,1),IF(RIGHT(LOWER(E106),2)="km",VALUE(LEFT(E106,LEN(E106)-2)),IF(LOWER(E106)="race","race",E106)))))</f>
        <v/>
      </c>
    </row>
    <row r="107" ht="15" customHeight="1" s="21">
      <c r="A107" s="32" t="n"/>
      <c r="B107" s="32" t="n"/>
      <c r="C107" s="32" t="n"/>
      <c r="D107" s="35" t="n"/>
      <c r="E107" s="32" t="n"/>
      <c r="F107" s="32" t="n"/>
      <c r="G107" s="32" t="n"/>
      <c r="H107" s="33">
        <f>IF(A107="","",COUNTIFS('Run sessions'!$A$2:$A$401,A107,'Run sessions'!$B$2:$B$401,B107))</f>
        <v/>
      </c>
      <c r="I107" s="33">
        <f>IF(OR(A107="",D107=""),"",IFERROR(ROUND(D107*IF(INDEX(Programmes!$L$2:$L$10,MATCH(A107,Programmes!$A$2:$A$10,0))="",INDEX(Programmes!$K$2:$K$10,MATCH(A107,Programmes!$A$2:$A$10,0)),INDEX(Programmes!$L$2:$L$10,MATCH(A107,Programmes!$A$2:$A$10,0))),1),""))</f>
        <v/>
      </c>
      <c r="J107" s="33">
        <f>IF(I107="","",IF(LOWER(E107)="auto",ROUND(I107*Rules!$C$8,1),IF(RIGHT(E107,1)="%",ROUND(I107*VALUE(LEFT(E107,LEN(E107)-1))/100,1),IF(RIGHT(LOWER(E107),2)="km",VALUE(LEFT(E107,LEN(E107)-2)),IF(LOWER(E107)="race","race",E107)))))</f>
        <v/>
      </c>
    </row>
    <row r="108" ht="15" customHeight="1" s="21">
      <c r="A108" s="32" t="n"/>
      <c r="B108" s="32" t="n"/>
      <c r="C108" s="32" t="n"/>
      <c r="D108" s="35" t="n"/>
      <c r="E108" s="32" t="n"/>
      <c r="F108" s="32" t="n"/>
      <c r="G108" s="32" t="n"/>
      <c r="H108" s="33">
        <f>IF(A108="","",COUNTIFS('Run sessions'!$A$2:$A$401,A108,'Run sessions'!$B$2:$B$401,B108))</f>
        <v/>
      </c>
      <c r="I108" s="33">
        <f>IF(OR(A108="",D108=""),"",IFERROR(ROUND(D108*IF(INDEX(Programmes!$L$2:$L$10,MATCH(A108,Programmes!$A$2:$A$10,0))="",INDEX(Programmes!$K$2:$K$10,MATCH(A108,Programmes!$A$2:$A$10,0)),INDEX(Programmes!$L$2:$L$10,MATCH(A108,Programmes!$A$2:$A$10,0))),1),""))</f>
        <v/>
      </c>
      <c r="J108" s="33">
        <f>IF(I108="","",IF(LOWER(E108)="auto",ROUND(I108*Rules!$C$8,1),IF(RIGHT(E108,1)="%",ROUND(I108*VALUE(LEFT(E108,LEN(E108)-1))/100,1),IF(RIGHT(LOWER(E108),2)="km",VALUE(LEFT(E108,LEN(E108)-2)),IF(LOWER(E108)="race","race",E108)))))</f>
        <v/>
      </c>
    </row>
    <row r="109" ht="15" customHeight="1" s="21">
      <c r="A109" s="32" t="n"/>
      <c r="B109" s="32" t="n"/>
      <c r="C109" s="32" t="n"/>
      <c r="D109" s="35" t="n"/>
      <c r="E109" s="32" t="n"/>
      <c r="F109" s="32" t="n"/>
      <c r="G109" s="32" t="n"/>
      <c r="H109" s="33">
        <f>IF(A109="","",COUNTIFS('Run sessions'!$A$2:$A$401,A109,'Run sessions'!$B$2:$B$401,B109))</f>
        <v/>
      </c>
      <c r="I109" s="33">
        <f>IF(OR(A109="",D109=""),"",IFERROR(ROUND(D109*IF(INDEX(Programmes!$L$2:$L$10,MATCH(A109,Programmes!$A$2:$A$10,0))="",INDEX(Programmes!$K$2:$K$10,MATCH(A109,Programmes!$A$2:$A$10,0)),INDEX(Programmes!$L$2:$L$10,MATCH(A109,Programmes!$A$2:$A$10,0))),1),""))</f>
        <v/>
      </c>
      <c r="J109" s="33">
        <f>IF(I109="","",IF(LOWER(E109)="auto",ROUND(I109*Rules!$C$8,1),IF(RIGHT(E109,1)="%",ROUND(I109*VALUE(LEFT(E109,LEN(E109)-1))/100,1),IF(RIGHT(LOWER(E109),2)="km",VALUE(LEFT(E109,LEN(E109)-2)),IF(LOWER(E109)="race","race",E109)))))</f>
        <v/>
      </c>
    </row>
    <row r="110" ht="15" customHeight="1" s="21">
      <c r="A110" s="32" t="n"/>
      <c r="B110" s="32" t="n"/>
      <c r="C110" s="32" t="n"/>
      <c r="D110" s="35" t="n"/>
      <c r="E110" s="32" t="n"/>
      <c r="F110" s="32" t="n"/>
      <c r="G110" s="32" t="n"/>
      <c r="H110" s="33">
        <f>IF(A110="","",COUNTIFS('Run sessions'!$A$2:$A$401,A110,'Run sessions'!$B$2:$B$401,B110))</f>
        <v/>
      </c>
      <c r="I110" s="33">
        <f>IF(OR(A110="",D110=""),"",IFERROR(ROUND(D110*IF(INDEX(Programmes!$L$2:$L$10,MATCH(A110,Programmes!$A$2:$A$10,0))="",INDEX(Programmes!$K$2:$K$10,MATCH(A110,Programmes!$A$2:$A$10,0)),INDEX(Programmes!$L$2:$L$10,MATCH(A110,Programmes!$A$2:$A$10,0))),1),""))</f>
        <v/>
      </c>
      <c r="J110" s="33">
        <f>IF(I110="","",IF(LOWER(E110)="auto",ROUND(I110*Rules!$C$8,1),IF(RIGHT(E110,1)="%",ROUND(I110*VALUE(LEFT(E110,LEN(E110)-1))/100,1),IF(RIGHT(LOWER(E110),2)="km",VALUE(LEFT(E110,LEN(E110)-2)),IF(LOWER(E110)="race","race",E110)))))</f>
        <v/>
      </c>
    </row>
    <row r="111" ht="15" customHeight="1" s="21">
      <c r="A111" s="32" t="n"/>
      <c r="B111" s="32" t="n"/>
      <c r="C111" s="32" t="n"/>
      <c r="D111" s="35" t="n"/>
      <c r="E111" s="32" t="n"/>
      <c r="F111" s="32" t="n"/>
      <c r="G111" s="32" t="n"/>
      <c r="H111" s="33">
        <f>IF(A111="","",COUNTIFS('Run sessions'!$A$2:$A$401,A111,'Run sessions'!$B$2:$B$401,B111))</f>
        <v/>
      </c>
      <c r="I111" s="33">
        <f>IF(OR(A111="",D111=""),"",IFERROR(ROUND(D111*IF(INDEX(Programmes!$L$2:$L$10,MATCH(A111,Programmes!$A$2:$A$10,0))="",INDEX(Programmes!$K$2:$K$10,MATCH(A111,Programmes!$A$2:$A$10,0)),INDEX(Programmes!$L$2:$L$10,MATCH(A111,Programmes!$A$2:$A$10,0))),1),""))</f>
        <v/>
      </c>
      <c r="J111" s="33">
        <f>IF(I111="","",IF(LOWER(E111)="auto",ROUND(I111*Rules!$C$8,1),IF(RIGHT(E111,1)="%",ROUND(I111*VALUE(LEFT(E111,LEN(E111)-1))/100,1),IF(RIGHT(LOWER(E111),2)="km",VALUE(LEFT(E111,LEN(E111)-2)),IF(LOWER(E111)="race","race",E111)))))</f>
        <v/>
      </c>
    </row>
    <row r="112" ht="15" customHeight="1" s="21">
      <c r="A112" s="32" t="n"/>
      <c r="B112" s="32" t="n"/>
      <c r="C112" s="32" t="n"/>
      <c r="D112" s="35" t="n"/>
      <c r="E112" s="32" t="n"/>
      <c r="F112" s="32" t="n"/>
      <c r="G112" s="32" t="n"/>
      <c r="H112" s="33">
        <f>IF(A112="","",COUNTIFS('Run sessions'!$A$2:$A$401,A112,'Run sessions'!$B$2:$B$401,B112))</f>
        <v/>
      </c>
      <c r="I112" s="33">
        <f>IF(OR(A112="",D112=""),"",IFERROR(ROUND(D112*IF(INDEX(Programmes!$L$2:$L$10,MATCH(A112,Programmes!$A$2:$A$10,0))="",INDEX(Programmes!$K$2:$K$10,MATCH(A112,Programmes!$A$2:$A$10,0)),INDEX(Programmes!$L$2:$L$10,MATCH(A112,Programmes!$A$2:$A$10,0))),1),""))</f>
        <v/>
      </c>
      <c r="J112" s="33">
        <f>IF(I112="","",IF(LOWER(E112)="auto",ROUND(I112*Rules!$C$8,1),IF(RIGHT(E112,1)="%",ROUND(I112*VALUE(LEFT(E112,LEN(E112)-1))/100,1),IF(RIGHT(LOWER(E112),2)="km",VALUE(LEFT(E112,LEN(E112)-2)),IF(LOWER(E112)="race","race",E112)))))</f>
        <v/>
      </c>
    </row>
    <row r="113" ht="15" customHeight="1" s="21">
      <c r="A113" s="32" t="n"/>
      <c r="B113" s="32" t="n"/>
      <c r="C113" s="32" t="n"/>
      <c r="D113" s="35" t="n"/>
      <c r="E113" s="32" t="n"/>
      <c r="F113" s="32" t="n"/>
      <c r="G113" s="32" t="n"/>
      <c r="H113" s="33">
        <f>IF(A113="","",COUNTIFS('Run sessions'!$A$2:$A$401,A113,'Run sessions'!$B$2:$B$401,B113))</f>
        <v/>
      </c>
      <c r="I113" s="33">
        <f>IF(OR(A113="",D113=""),"",IFERROR(ROUND(D113*IF(INDEX(Programmes!$L$2:$L$10,MATCH(A113,Programmes!$A$2:$A$10,0))="",INDEX(Programmes!$K$2:$K$10,MATCH(A113,Programmes!$A$2:$A$10,0)),INDEX(Programmes!$L$2:$L$10,MATCH(A113,Programmes!$A$2:$A$10,0))),1),""))</f>
        <v/>
      </c>
      <c r="J113" s="33">
        <f>IF(I113="","",IF(LOWER(E113)="auto",ROUND(I113*Rules!$C$8,1),IF(RIGHT(E113,1)="%",ROUND(I113*VALUE(LEFT(E113,LEN(E113)-1))/100,1),IF(RIGHT(LOWER(E113),2)="km",VALUE(LEFT(E113,LEN(E113)-2)),IF(LOWER(E113)="race","race",E113)))))</f>
        <v/>
      </c>
    </row>
    <row r="114" ht="15" customHeight="1" s="21">
      <c r="A114" s="32" t="n"/>
      <c r="B114" s="32" t="n"/>
      <c r="C114" s="32" t="n"/>
      <c r="D114" s="35" t="n"/>
      <c r="E114" s="32" t="n"/>
      <c r="F114" s="32" t="n"/>
      <c r="G114" s="32" t="n"/>
      <c r="H114" s="33">
        <f>IF(A114="","",COUNTIFS('Run sessions'!$A$2:$A$401,A114,'Run sessions'!$B$2:$B$401,B114))</f>
        <v/>
      </c>
      <c r="I114" s="33">
        <f>IF(OR(A114="",D114=""),"",IFERROR(ROUND(D114*IF(INDEX(Programmes!$L$2:$L$10,MATCH(A114,Programmes!$A$2:$A$10,0))="",INDEX(Programmes!$K$2:$K$10,MATCH(A114,Programmes!$A$2:$A$10,0)),INDEX(Programmes!$L$2:$L$10,MATCH(A114,Programmes!$A$2:$A$10,0))),1),""))</f>
        <v/>
      </c>
      <c r="J114" s="33">
        <f>IF(I114="","",IF(LOWER(E114)="auto",ROUND(I114*Rules!$C$8,1),IF(RIGHT(E114,1)="%",ROUND(I114*VALUE(LEFT(E114,LEN(E114)-1))/100,1),IF(RIGHT(LOWER(E114),2)="km",VALUE(LEFT(E114,LEN(E114)-2)),IF(LOWER(E114)="race","race",E114)))))</f>
        <v/>
      </c>
    </row>
    <row r="115" ht="15" customHeight="1" s="21">
      <c r="A115" s="32" t="n"/>
      <c r="B115" s="32" t="n"/>
      <c r="C115" s="32" t="n"/>
      <c r="D115" s="35" t="n"/>
      <c r="E115" s="32" t="n"/>
      <c r="F115" s="32" t="n"/>
      <c r="G115" s="32" t="n"/>
      <c r="H115" s="33">
        <f>IF(A115="","",COUNTIFS('Run sessions'!$A$2:$A$401,A115,'Run sessions'!$B$2:$B$401,B115))</f>
        <v/>
      </c>
      <c r="I115" s="33">
        <f>IF(OR(A115="",D115=""),"",IFERROR(ROUND(D115*IF(INDEX(Programmes!$L$2:$L$10,MATCH(A115,Programmes!$A$2:$A$10,0))="",INDEX(Programmes!$K$2:$K$10,MATCH(A115,Programmes!$A$2:$A$10,0)),INDEX(Programmes!$L$2:$L$10,MATCH(A115,Programmes!$A$2:$A$10,0))),1),""))</f>
        <v/>
      </c>
      <c r="J115" s="33">
        <f>IF(I115="","",IF(LOWER(E115)="auto",ROUND(I115*Rules!$C$8,1),IF(RIGHT(E115,1)="%",ROUND(I115*VALUE(LEFT(E115,LEN(E115)-1))/100,1),IF(RIGHT(LOWER(E115),2)="km",VALUE(LEFT(E115,LEN(E115)-2)),IF(LOWER(E115)="race","race",E115)))))</f>
        <v/>
      </c>
    </row>
    <row r="116" ht="15" customHeight="1" s="21">
      <c r="A116" s="32" t="n"/>
      <c r="B116" s="32" t="n"/>
      <c r="C116" s="32" t="n"/>
      <c r="D116" s="35" t="n"/>
      <c r="E116" s="32" t="n"/>
      <c r="F116" s="32" t="n"/>
      <c r="G116" s="32" t="n"/>
      <c r="H116" s="33">
        <f>IF(A116="","",COUNTIFS('Run sessions'!$A$2:$A$401,A116,'Run sessions'!$B$2:$B$401,B116))</f>
        <v/>
      </c>
      <c r="I116" s="33">
        <f>IF(OR(A116="",D116=""),"",IFERROR(ROUND(D116*IF(INDEX(Programmes!$L$2:$L$10,MATCH(A116,Programmes!$A$2:$A$10,0))="",INDEX(Programmes!$K$2:$K$10,MATCH(A116,Programmes!$A$2:$A$10,0)),INDEX(Programmes!$L$2:$L$10,MATCH(A116,Programmes!$A$2:$A$10,0))),1),""))</f>
        <v/>
      </c>
      <c r="J116" s="33">
        <f>IF(I116="","",IF(LOWER(E116)="auto",ROUND(I116*Rules!$C$8,1),IF(RIGHT(E116,1)="%",ROUND(I116*VALUE(LEFT(E116,LEN(E116)-1))/100,1),IF(RIGHT(LOWER(E116),2)="km",VALUE(LEFT(E116,LEN(E116)-2)),IF(LOWER(E116)="race","race",E116)))))</f>
        <v/>
      </c>
    </row>
    <row r="117" ht="15" customHeight="1" s="21">
      <c r="A117" s="32" t="n"/>
      <c r="B117" s="32" t="n"/>
      <c r="C117" s="32" t="n"/>
      <c r="D117" s="35" t="n"/>
      <c r="E117" s="32" t="n"/>
      <c r="F117" s="32" t="n"/>
      <c r="G117" s="32" t="n"/>
      <c r="H117" s="33">
        <f>IF(A117="","",COUNTIFS('Run sessions'!$A$2:$A$401,A117,'Run sessions'!$B$2:$B$401,B117))</f>
        <v/>
      </c>
      <c r="I117" s="33">
        <f>IF(OR(A117="",D117=""),"",IFERROR(ROUND(D117*IF(INDEX(Programmes!$L$2:$L$10,MATCH(A117,Programmes!$A$2:$A$10,0))="",INDEX(Programmes!$K$2:$K$10,MATCH(A117,Programmes!$A$2:$A$10,0)),INDEX(Programmes!$L$2:$L$10,MATCH(A117,Programmes!$A$2:$A$10,0))),1),""))</f>
        <v/>
      </c>
      <c r="J117" s="33">
        <f>IF(I117="","",IF(LOWER(E117)="auto",ROUND(I117*Rules!$C$8,1),IF(RIGHT(E117,1)="%",ROUND(I117*VALUE(LEFT(E117,LEN(E117)-1))/100,1),IF(RIGHT(LOWER(E117),2)="km",VALUE(LEFT(E117,LEN(E117)-2)),IF(LOWER(E117)="race","race",E117)))))</f>
        <v/>
      </c>
    </row>
    <row r="118" ht="15" customHeight="1" s="21">
      <c r="A118" s="32" t="n"/>
      <c r="B118" s="32" t="n"/>
      <c r="C118" s="32" t="n"/>
      <c r="D118" s="35" t="n"/>
      <c r="E118" s="32" t="n"/>
      <c r="F118" s="32" t="n"/>
      <c r="G118" s="32" t="n"/>
      <c r="H118" s="33">
        <f>IF(A118="","",COUNTIFS('Run sessions'!$A$2:$A$401,A118,'Run sessions'!$B$2:$B$401,B118))</f>
        <v/>
      </c>
      <c r="I118" s="33">
        <f>IF(OR(A118="",D118=""),"",IFERROR(ROUND(D118*IF(INDEX(Programmes!$L$2:$L$10,MATCH(A118,Programmes!$A$2:$A$10,0))="",INDEX(Programmes!$K$2:$K$10,MATCH(A118,Programmes!$A$2:$A$10,0)),INDEX(Programmes!$L$2:$L$10,MATCH(A118,Programmes!$A$2:$A$10,0))),1),""))</f>
        <v/>
      </c>
      <c r="J118" s="33">
        <f>IF(I118="","",IF(LOWER(E118)="auto",ROUND(I118*Rules!$C$8,1),IF(RIGHT(E118,1)="%",ROUND(I118*VALUE(LEFT(E118,LEN(E118)-1))/100,1),IF(RIGHT(LOWER(E118),2)="km",VALUE(LEFT(E118,LEN(E118)-2)),IF(LOWER(E118)="race","race",E118)))))</f>
        <v/>
      </c>
    </row>
    <row r="119" ht="15" customHeight="1" s="21">
      <c r="A119" s="32" t="n"/>
      <c r="B119" s="32" t="n"/>
      <c r="C119" s="32" t="n"/>
      <c r="D119" s="35" t="n"/>
      <c r="E119" s="32" t="n"/>
      <c r="F119" s="32" t="n"/>
      <c r="G119" s="32" t="n"/>
      <c r="H119" s="33">
        <f>IF(A119="","",COUNTIFS('Run sessions'!$A$2:$A$401,A119,'Run sessions'!$B$2:$B$401,B119))</f>
        <v/>
      </c>
      <c r="I119" s="33">
        <f>IF(OR(A119="",D119=""),"",IFERROR(ROUND(D119*IF(INDEX(Programmes!$L$2:$L$10,MATCH(A119,Programmes!$A$2:$A$10,0))="",INDEX(Programmes!$K$2:$K$10,MATCH(A119,Programmes!$A$2:$A$10,0)),INDEX(Programmes!$L$2:$L$10,MATCH(A119,Programmes!$A$2:$A$10,0))),1),""))</f>
        <v/>
      </c>
      <c r="J119" s="33">
        <f>IF(I119="","",IF(LOWER(E119)="auto",ROUND(I119*Rules!$C$8,1),IF(RIGHT(E119,1)="%",ROUND(I119*VALUE(LEFT(E119,LEN(E119)-1))/100,1),IF(RIGHT(LOWER(E119),2)="km",VALUE(LEFT(E119,LEN(E119)-2)),IF(LOWER(E119)="race","race",E119)))))</f>
        <v/>
      </c>
    </row>
    <row r="120" ht="15" customHeight="1" s="21">
      <c r="A120" s="32" t="n"/>
      <c r="B120" s="32" t="n"/>
      <c r="C120" s="32" t="n"/>
      <c r="D120" s="35" t="n"/>
      <c r="E120" s="32" t="n"/>
      <c r="F120" s="32" t="n"/>
      <c r="G120" s="32" t="n"/>
      <c r="H120" s="33">
        <f>IF(A120="","",COUNTIFS('Run sessions'!$A$2:$A$401,A120,'Run sessions'!$B$2:$B$401,B120))</f>
        <v/>
      </c>
      <c r="I120" s="33">
        <f>IF(OR(A120="",D120=""),"",IFERROR(ROUND(D120*IF(INDEX(Programmes!$L$2:$L$10,MATCH(A120,Programmes!$A$2:$A$10,0))="",INDEX(Programmes!$K$2:$K$10,MATCH(A120,Programmes!$A$2:$A$10,0)),INDEX(Programmes!$L$2:$L$10,MATCH(A120,Programmes!$A$2:$A$10,0))),1),""))</f>
        <v/>
      </c>
      <c r="J120" s="33">
        <f>IF(I120="","",IF(LOWER(E120)="auto",ROUND(I120*Rules!$C$8,1),IF(RIGHT(E120,1)="%",ROUND(I120*VALUE(LEFT(E120,LEN(E120)-1))/100,1),IF(RIGHT(LOWER(E120),2)="km",VALUE(LEFT(E120,LEN(E120)-2)),IF(LOWER(E120)="race","race",E120)))))</f>
        <v/>
      </c>
    </row>
    <row r="121" ht="15" customHeight="1" s="21">
      <c r="A121" s="32" t="n"/>
      <c r="B121" s="32" t="n"/>
      <c r="C121" s="32" t="n"/>
      <c r="D121" s="35" t="n"/>
      <c r="E121" s="32" t="n"/>
      <c r="F121" s="32" t="n"/>
      <c r="G121" s="32" t="n"/>
      <c r="H121" s="33">
        <f>IF(A121="","",COUNTIFS('Run sessions'!$A$2:$A$401,A121,'Run sessions'!$B$2:$B$401,B121))</f>
        <v/>
      </c>
      <c r="I121" s="33">
        <f>IF(OR(A121="",D121=""),"",IFERROR(ROUND(D121*IF(INDEX(Programmes!$L$2:$L$10,MATCH(A121,Programmes!$A$2:$A$10,0))="",INDEX(Programmes!$K$2:$K$10,MATCH(A121,Programmes!$A$2:$A$10,0)),INDEX(Programmes!$L$2:$L$10,MATCH(A121,Programmes!$A$2:$A$10,0))),1),""))</f>
        <v/>
      </c>
      <c r="J121" s="33">
        <f>IF(I121="","",IF(LOWER(E121)="auto",ROUND(I121*Rules!$C$8,1),IF(RIGHT(E121,1)="%",ROUND(I121*VALUE(LEFT(E121,LEN(E121)-1))/100,1),IF(RIGHT(LOWER(E121),2)="km",VALUE(LEFT(E121,LEN(E121)-2)),IF(LOWER(E121)="race","race",E121)))))</f>
        <v/>
      </c>
    </row>
    <row r="122" ht="15" customHeight="1" s="21">
      <c r="A122" s="32" t="n"/>
      <c r="B122" s="32" t="n"/>
      <c r="C122" s="32" t="n"/>
      <c r="D122" s="35" t="n"/>
      <c r="E122" s="32" t="n"/>
      <c r="F122" s="32" t="n"/>
      <c r="G122" s="32" t="n"/>
      <c r="H122" s="33">
        <f>IF(A122="","",COUNTIFS('Run sessions'!$A$2:$A$401,A122,'Run sessions'!$B$2:$B$401,B122))</f>
        <v/>
      </c>
      <c r="I122" s="33">
        <f>IF(OR(A122="",D122=""),"",IFERROR(ROUND(D122*IF(INDEX(Programmes!$L$2:$L$10,MATCH(A122,Programmes!$A$2:$A$10,0))="",INDEX(Programmes!$K$2:$K$10,MATCH(A122,Programmes!$A$2:$A$10,0)),INDEX(Programmes!$L$2:$L$10,MATCH(A122,Programmes!$A$2:$A$10,0))),1),""))</f>
        <v/>
      </c>
      <c r="J122" s="33">
        <f>IF(I122="","",IF(LOWER(E122)="auto",ROUND(I122*Rules!$C$8,1),IF(RIGHT(E122,1)="%",ROUND(I122*VALUE(LEFT(E122,LEN(E122)-1))/100,1),IF(RIGHT(LOWER(E122),2)="km",VALUE(LEFT(E122,LEN(E122)-2)),IF(LOWER(E122)="race","race",E122)))))</f>
        <v/>
      </c>
    </row>
    <row r="123" ht="15" customHeight="1" s="21">
      <c r="A123" s="32" t="n"/>
      <c r="B123" s="32" t="n"/>
      <c r="C123" s="32" t="n"/>
      <c r="D123" s="35" t="n"/>
      <c r="E123" s="32" t="n"/>
      <c r="F123" s="32" t="n"/>
      <c r="G123" s="32" t="n"/>
      <c r="H123" s="33">
        <f>IF(A123="","",COUNTIFS('Run sessions'!$A$2:$A$401,A123,'Run sessions'!$B$2:$B$401,B123))</f>
        <v/>
      </c>
      <c r="I123" s="33">
        <f>IF(OR(A123="",D123=""),"",IFERROR(ROUND(D123*IF(INDEX(Programmes!$L$2:$L$10,MATCH(A123,Programmes!$A$2:$A$10,0))="",INDEX(Programmes!$K$2:$K$10,MATCH(A123,Programmes!$A$2:$A$10,0)),INDEX(Programmes!$L$2:$L$10,MATCH(A123,Programmes!$A$2:$A$10,0))),1),""))</f>
        <v/>
      </c>
      <c r="J123" s="33">
        <f>IF(I123="","",IF(LOWER(E123)="auto",ROUND(I123*Rules!$C$8,1),IF(RIGHT(E123,1)="%",ROUND(I123*VALUE(LEFT(E123,LEN(E123)-1))/100,1),IF(RIGHT(LOWER(E123),2)="km",VALUE(LEFT(E123,LEN(E123)-2)),IF(LOWER(E123)="race","race",E123)))))</f>
        <v/>
      </c>
    </row>
    <row r="124" ht="15" customHeight="1" s="21">
      <c r="A124" s="32" t="n"/>
      <c r="B124" s="32" t="n"/>
      <c r="C124" s="32" t="n"/>
      <c r="D124" s="35" t="n"/>
      <c r="E124" s="32" t="n"/>
      <c r="F124" s="32" t="n"/>
      <c r="G124" s="32" t="n"/>
      <c r="H124" s="33">
        <f>IF(A124="","",COUNTIFS('Run sessions'!$A$2:$A$401,A124,'Run sessions'!$B$2:$B$401,B124))</f>
        <v/>
      </c>
      <c r="I124" s="33">
        <f>IF(OR(A124="",D124=""),"",IFERROR(ROUND(D124*IF(INDEX(Programmes!$L$2:$L$10,MATCH(A124,Programmes!$A$2:$A$10,0))="",INDEX(Programmes!$K$2:$K$10,MATCH(A124,Programmes!$A$2:$A$10,0)),INDEX(Programmes!$L$2:$L$10,MATCH(A124,Programmes!$A$2:$A$10,0))),1),""))</f>
        <v/>
      </c>
      <c r="J124" s="33">
        <f>IF(I124="","",IF(LOWER(E124)="auto",ROUND(I124*Rules!$C$8,1),IF(RIGHT(E124,1)="%",ROUND(I124*VALUE(LEFT(E124,LEN(E124)-1))/100,1),IF(RIGHT(LOWER(E124),2)="km",VALUE(LEFT(E124,LEN(E124)-2)),IF(LOWER(E124)="race","race",E124)))))</f>
        <v/>
      </c>
    </row>
    <row r="125" ht="15" customHeight="1" s="21">
      <c r="A125" s="32" t="n"/>
      <c r="B125" s="32" t="n"/>
      <c r="C125" s="32" t="n"/>
      <c r="D125" s="35" t="n"/>
      <c r="E125" s="32" t="n"/>
      <c r="F125" s="32" t="n"/>
      <c r="G125" s="32" t="n"/>
      <c r="H125" s="33">
        <f>IF(A125="","",COUNTIFS('Run sessions'!$A$2:$A$401,A125,'Run sessions'!$B$2:$B$401,B125))</f>
        <v/>
      </c>
      <c r="I125" s="33">
        <f>IF(OR(A125="",D125=""),"",IFERROR(ROUND(D125*IF(INDEX(Programmes!$L$2:$L$10,MATCH(A125,Programmes!$A$2:$A$10,0))="",INDEX(Programmes!$K$2:$K$10,MATCH(A125,Programmes!$A$2:$A$10,0)),INDEX(Programmes!$L$2:$L$10,MATCH(A125,Programmes!$A$2:$A$10,0))),1),""))</f>
        <v/>
      </c>
      <c r="J125" s="33">
        <f>IF(I125="","",IF(LOWER(E125)="auto",ROUND(I125*Rules!$C$8,1),IF(RIGHT(E125,1)="%",ROUND(I125*VALUE(LEFT(E125,LEN(E125)-1))/100,1),IF(RIGHT(LOWER(E125),2)="km",VALUE(LEFT(E125,LEN(E125)-2)),IF(LOWER(E125)="race","race",E125)))))</f>
        <v/>
      </c>
    </row>
    <row r="126" ht="15" customHeight="1" s="21">
      <c r="A126" s="32" t="n"/>
      <c r="B126" s="32" t="n"/>
      <c r="C126" s="32" t="n"/>
      <c r="D126" s="35" t="n"/>
      <c r="E126" s="32" t="n"/>
      <c r="F126" s="32" t="n"/>
      <c r="G126" s="32" t="n"/>
      <c r="H126" s="33">
        <f>IF(A126="","",COUNTIFS('Run sessions'!$A$2:$A$401,A126,'Run sessions'!$B$2:$B$401,B126))</f>
        <v/>
      </c>
      <c r="I126" s="33">
        <f>IF(OR(A126="",D126=""),"",IFERROR(ROUND(D126*IF(INDEX(Programmes!$L$2:$L$10,MATCH(A126,Programmes!$A$2:$A$10,0))="",INDEX(Programmes!$K$2:$K$10,MATCH(A126,Programmes!$A$2:$A$10,0)),INDEX(Programmes!$L$2:$L$10,MATCH(A126,Programmes!$A$2:$A$10,0))),1),""))</f>
        <v/>
      </c>
      <c r="J126" s="33">
        <f>IF(I126="","",IF(LOWER(E126)="auto",ROUND(I126*Rules!$C$8,1),IF(RIGHT(E126,1)="%",ROUND(I126*VALUE(LEFT(E126,LEN(E126)-1))/100,1),IF(RIGHT(LOWER(E126),2)="km",VALUE(LEFT(E126,LEN(E126)-2)),IF(LOWER(E126)="race","race",E126)))))</f>
        <v/>
      </c>
    </row>
    <row r="127" ht="15" customHeight="1" s="21">
      <c r="A127" s="32" t="n"/>
      <c r="B127" s="32" t="n"/>
      <c r="C127" s="32" t="n"/>
      <c r="D127" s="35" t="n"/>
      <c r="E127" s="32" t="n"/>
      <c r="F127" s="32" t="n"/>
      <c r="G127" s="32" t="n"/>
      <c r="H127" s="33">
        <f>IF(A127="","",COUNTIFS('Run sessions'!$A$2:$A$401,A127,'Run sessions'!$B$2:$B$401,B127))</f>
        <v/>
      </c>
      <c r="I127" s="33">
        <f>IF(OR(A127="",D127=""),"",IFERROR(ROUND(D127*IF(INDEX(Programmes!$L$2:$L$10,MATCH(A127,Programmes!$A$2:$A$10,0))="",INDEX(Programmes!$K$2:$K$10,MATCH(A127,Programmes!$A$2:$A$10,0)),INDEX(Programmes!$L$2:$L$10,MATCH(A127,Programmes!$A$2:$A$10,0))),1),""))</f>
        <v/>
      </c>
      <c r="J127" s="33">
        <f>IF(I127="","",IF(LOWER(E127)="auto",ROUND(I127*Rules!$C$8,1),IF(RIGHT(E127,1)="%",ROUND(I127*VALUE(LEFT(E127,LEN(E127)-1))/100,1),IF(RIGHT(LOWER(E127),2)="km",VALUE(LEFT(E127,LEN(E127)-2)),IF(LOWER(E127)="race","race",E127)))))</f>
        <v/>
      </c>
    </row>
    <row r="128" ht="15" customHeight="1" s="21">
      <c r="A128" s="32" t="n"/>
      <c r="B128" s="32" t="n"/>
      <c r="C128" s="32" t="n"/>
      <c r="D128" s="35" t="n"/>
      <c r="E128" s="32" t="n"/>
      <c r="F128" s="32" t="n"/>
      <c r="G128" s="32" t="n"/>
      <c r="H128" s="33">
        <f>IF(A128="","",COUNTIFS('Run sessions'!$A$2:$A$401,A128,'Run sessions'!$B$2:$B$401,B128))</f>
        <v/>
      </c>
      <c r="I128" s="33">
        <f>IF(OR(A128="",D128=""),"",IFERROR(ROUND(D128*IF(INDEX(Programmes!$L$2:$L$10,MATCH(A128,Programmes!$A$2:$A$10,0))="",INDEX(Programmes!$K$2:$K$10,MATCH(A128,Programmes!$A$2:$A$10,0)),INDEX(Programmes!$L$2:$L$10,MATCH(A128,Programmes!$A$2:$A$10,0))),1),""))</f>
        <v/>
      </c>
      <c r="J128" s="33">
        <f>IF(I128="","",IF(LOWER(E128)="auto",ROUND(I128*Rules!$C$8,1),IF(RIGHT(E128,1)="%",ROUND(I128*VALUE(LEFT(E128,LEN(E128)-1))/100,1),IF(RIGHT(LOWER(E128),2)="km",VALUE(LEFT(E128,LEN(E128)-2)),IF(LOWER(E128)="race","race",E128)))))</f>
        <v/>
      </c>
    </row>
    <row r="129" ht="15" customHeight="1" s="21">
      <c r="A129" s="32" t="n"/>
      <c r="B129" s="32" t="n"/>
      <c r="C129" s="32" t="n"/>
      <c r="D129" s="35" t="n"/>
      <c r="E129" s="32" t="n"/>
      <c r="F129" s="32" t="n"/>
      <c r="G129" s="32" t="n"/>
      <c r="H129" s="33">
        <f>IF(A129="","",COUNTIFS('Run sessions'!$A$2:$A$401,A129,'Run sessions'!$B$2:$B$401,B129))</f>
        <v/>
      </c>
      <c r="I129" s="33">
        <f>IF(OR(A129="",D129=""),"",IFERROR(ROUND(D129*IF(INDEX(Programmes!$L$2:$L$10,MATCH(A129,Programmes!$A$2:$A$10,0))="",INDEX(Programmes!$K$2:$K$10,MATCH(A129,Programmes!$A$2:$A$10,0)),INDEX(Programmes!$L$2:$L$10,MATCH(A129,Programmes!$A$2:$A$10,0))),1),""))</f>
        <v/>
      </c>
      <c r="J129" s="33">
        <f>IF(I129="","",IF(LOWER(E129)="auto",ROUND(I129*Rules!$C$8,1),IF(RIGHT(E129,1)="%",ROUND(I129*VALUE(LEFT(E129,LEN(E129)-1))/100,1),IF(RIGHT(LOWER(E129),2)="km",VALUE(LEFT(E129,LEN(E129)-2)),IF(LOWER(E129)="race","race",E129)))))</f>
        <v/>
      </c>
    </row>
    <row r="130" ht="15" customHeight="1" s="21">
      <c r="A130" s="32" t="n"/>
      <c r="B130" s="32" t="n"/>
      <c r="C130" s="32" t="n"/>
      <c r="D130" s="35" t="n"/>
      <c r="E130" s="32" t="n"/>
      <c r="F130" s="32" t="n"/>
      <c r="G130" s="32" t="n"/>
      <c r="H130" s="33">
        <f>IF(A130="","",COUNTIFS('Run sessions'!$A$2:$A$401,A130,'Run sessions'!$B$2:$B$401,B130))</f>
        <v/>
      </c>
      <c r="I130" s="33">
        <f>IF(OR(A130="",D130=""),"",IFERROR(ROUND(D130*IF(INDEX(Programmes!$L$2:$L$10,MATCH(A130,Programmes!$A$2:$A$10,0))="",INDEX(Programmes!$K$2:$K$10,MATCH(A130,Programmes!$A$2:$A$10,0)),INDEX(Programmes!$L$2:$L$10,MATCH(A130,Programmes!$A$2:$A$10,0))),1),""))</f>
        <v/>
      </c>
      <c r="J130" s="33">
        <f>IF(I130="","",IF(LOWER(E130)="auto",ROUND(I130*Rules!$C$8,1),IF(RIGHT(E130,1)="%",ROUND(I130*VALUE(LEFT(E130,LEN(E130)-1))/100,1),IF(RIGHT(LOWER(E130),2)="km",VALUE(LEFT(E130,LEN(E130)-2)),IF(LOWER(E130)="race","race",E130)))))</f>
        <v/>
      </c>
    </row>
    <row r="131" ht="15" customHeight="1" s="21">
      <c r="A131" s="32" t="n"/>
      <c r="B131" s="32" t="n"/>
      <c r="C131" s="32" t="n"/>
      <c r="D131" s="35" t="n"/>
      <c r="E131" s="32" t="n"/>
      <c r="F131" s="32" t="n"/>
      <c r="G131" s="32" t="n"/>
      <c r="H131" s="33">
        <f>IF(A131="","",COUNTIFS('Run sessions'!$A$2:$A$401,A131,'Run sessions'!$B$2:$B$401,B131))</f>
        <v/>
      </c>
      <c r="I131" s="33">
        <f>IF(OR(A131="",D131=""),"",IFERROR(ROUND(D131*IF(INDEX(Programmes!$L$2:$L$10,MATCH(A131,Programmes!$A$2:$A$10,0))="",INDEX(Programmes!$K$2:$K$10,MATCH(A131,Programmes!$A$2:$A$10,0)),INDEX(Programmes!$L$2:$L$10,MATCH(A131,Programmes!$A$2:$A$10,0))),1),""))</f>
        <v/>
      </c>
      <c r="J131" s="33">
        <f>IF(I131="","",IF(LOWER(E131)="auto",ROUND(I131*Rules!$C$8,1),IF(RIGHT(E131,1)="%",ROUND(I131*VALUE(LEFT(E131,LEN(E131)-1))/100,1),IF(RIGHT(LOWER(E131),2)="km",VALUE(LEFT(E131,LEN(E131)-2)),IF(LOWER(E131)="race","race",E131)))))</f>
        <v/>
      </c>
    </row>
    <row r="132" ht="15" customHeight="1" s="21">
      <c r="A132" s="32" t="n"/>
      <c r="B132" s="32" t="n"/>
      <c r="C132" s="32" t="n"/>
      <c r="D132" s="35" t="n"/>
      <c r="E132" s="32" t="n"/>
      <c r="F132" s="32" t="n"/>
      <c r="G132" s="32" t="n"/>
      <c r="H132" s="33">
        <f>IF(A132="","",COUNTIFS('Run sessions'!$A$2:$A$401,A132,'Run sessions'!$B$2:$B$401,B132))</f>
        <v/>
      </c>
      <c r="I132" s="33">
        <f>IF(OR(A132="",D132=""),"",IFERROR(ROUND(D132*IF(INDEX(Programmes!$L$2:$L$10,MATCH(A132,Programmes!$A$2:$A$10,0))="",INDEX(Programmes!$K$2:$K$10,MATCH(A132,Programmes!$A$2:$A$10,0)),INDEX(Programmes!$L$2:$L$10,MATCH(A132,Programmes!$A$2:$A$10,0))),1),""))</f>
        <v/>
      </c>
      <c r="J132" s="33">
        <f>IF(I132="","",IF(LOWER(E132)="auto",ROUND(I132*Rules!$C$8,1),IF(RIGHT(E132,1)="%",ROUND(I132*VALUE(LEFT(E132,LEN(E132)-1))/100,1),IF(RIGHT(LOWER(E132),2)="km",VALUE(LEFT(E132,LEN(E132)-2)),IF(LOWER(E132)="race","race",E132)))))</f>
        <v/>
      </c>
    </row>
    <row r="133" ht="15" customHeight="1" s="21">
      <c r="A133" s="32" t="n"/>
      <c r="B133" s="32" t="n"/>
      <c r="C133" s="32" t="n"/>
      <c r="D133" s="35" t="n"/>
      <c r="E133" s="32" t="n"/>
      <c r="F133" s="32" t="n"/>
      <c r="G133" s="32" t="n"/>
      <c r="H133" s="33">
        <f>IF(A133="","",COUNTIFS('Run sessions'!$A$2:$A$401,A133,'Run sessions'!$B$2:$B$401,B133))</f>
        <v/>
      </c>
      <c r="I133" s="33">
        <f>IF(OR(A133="",D133=""),"",IFERROR(ROUND(D133*IF(INDEX(Programmes!$L$2:$L$10,MATCH(A133,Programmes!$A$2:$A$10,0))="",INDEX(Programmes!$K$2:$K$10,MATCH(A133,Programmes!$A$2:$A$10,0)),INDEX(Programmes!$L$2:$L$10,MATCH(A133,Programmes!$A$2:$A$10,0))),1),""))</f>
        <v/>
      </c>
      <c r="J133" s="33">
        <f>IF(I133="","",IF(LOWER(E133)="auto",ROUND(I133*Rules!$C$8,1),IF(RIGHT(E133,1)="%",ROUND(I133*VALUE(LEFT(E133,LEN(E133)-1))/100,1),IF(RIGHT(LOWER(E133),2)="km",VALUE(LEFT(E133,LEN(E133)-2)),IF(LOWER(E133)="race","race",E133)))))</f>
        <v/>
      </c>
    </row>
    <row r="134" ht="15" customHeight="1" s="21">
      <c r="A134" s="32" t="n"/>
      <c r="B134" s="32" t="n"/>
      <c r="C134" s="32" t="n"/>
      <c r="D134" s="35" t="n"/>
      <c r="E134" s="32" t="n"/>
      <c r="F134" s="32" t="n"/>
      <c r="G134" s="32" t="n"/>
      <c r="H134" s="33">
        <f>IF(A134="","",COUNTIFS('Run sessions'!$A$2:$A$401,A134,'Run sessions'!$B$2:$B$401,B134))</f>
        <v/>
      </c>
      <c r="I134" s="33">
        <f>IF(OR(A134="",D134=""),"",IFERROR(ROUND(D134*IF(INDEX(Programmes!$L$2:$L$10,MATCH(A134,Programmes!$A$2:$A$10,0))="",INDEX(Programmes!$K$2:$K$10,MATCH(A134,Programmes!$A$2:$A$10,0)),INDEX(Programmes!$L$2:$L$10,MATCH(A134,Programmes!$A$2:$A$10,0))),1),""))</f>
        <v/>
      </c>
      <c r="J134" s="33">
        <f>IF(I134="","",IF(LOWER(E134)="auto",ROUND(I134*Rules!$C$8,1),IF(RIGHT(E134,1)="%",ROUND(I134*VALUE(LEFT(E134,LEN(E134)-1))/100,1),IF(RIGHT(LOWER(E134),2)="km",VALUE(LEFT(E134,LEN(E134)-2)),IF(LOWER(E134)="race","race",E134)))))</f>
        <v/>
      </c>
    </row>
    <row r="135" ht="15" customHeight="1" s="21">
      <c r="A135" s="32" t="n"/>
      <c r="B135" s="32" t="n"/>
      <c r="C135" s="32" t="n"/>
      <c r="D135" s="35" t="n"/>
      <c r="E135" s="32" t="n"/>
      <c r="F135" s="32" t="n"/>
      <c r="G135" s="32" t="n"/>
      <c r="H135" s="33">
        <f>IF(A135="","",COUNTIFS('Run sessions'!$A$2:$A$401,A135,'Run sessions'!$B$2:$B$401,B135))</f>
        <v/>
      </c>
      <c r="I135" s="33">
        <f>IF(OR(A135="",D135=""),"",IFERROR(ROUND(D135*IF(INDEX(Programmes!$L$2:$L$10,MATCH(A135,Programmes!$A$2:$A$10,0))="",INDEX(Programmes!$K$2:$K$10,MATCH(A135,Programmes!$A$2:$A$10,0)),INDEX(Programmes!$L$2:$L$10,MATCH(A135,Programmes!$A$2:$A$10,0))),1),""))</f>
        <v/>
      </c>
      <c r="J135" s="33">
        <f>IF(I135="","",IF(LOWER(E135)="auto",ROUND(I135*Rules!$C$8,1),IF(RIGHT(E135,1)="%",ROUND(I135*VALUE(LEFT(E135,LEN(E135)-1))/100,1),IF(RIGHT(LOWER(E135),2)="km",VALUE(LEFT(E135,LEN(E135)-2)),IF(LOWER(E135)="race","race",E135)))))</f>
        <v/>
      </c>
    </row>
    <row r="136" ht="15" customHeight="1" s="21">
      <c r="A136" s="32" t="n"/>
      <c r="B136" s="32" t="n"/>
      <c r="C136" s="32" t="n"/>
      <c r="D136" s="35" t="n"/>
      <c r="E136" s="32" t="n"/>
      <c r="F136" s="32" t="n"/>
      <c r="G136" s="32" t="n"/>
      <c r="H136" s="33">
        <f>IF(A136="","",COUNTIFS('Run sessions'!$A$2:$A$401,A136,'Run sessions'!$B$2:$B$401,B136))</f>
        <v/>
      </c>
      <c r="I136" s="33">
        <f>IF(OR(A136="",D136=""),"",IFERROR(ROUND(D136*IF(INDEX(Programmes!$L$2:$L$10,MATCH(A136,Programmes!$A$2:$A$10,0))="",INDEX(Programmes!$K$2:$K$10,MATCH(A136,Programmes!$A$2:$A$10,0)),INDEX(Programmes!$L$2:$L$10,MATCH(A136,Programmes!$A$2:$A$10,0))),1),""))</f>
        <v/>
      </c>
      <c r="J136" s="33">
        <f>IF(I136="","",IF(LOWER(E136)="auto",ROUND(I136*Rules!$C$8,1),IF(RIGHT(E136,1)="%",ROUND(I136*VALUE(LEFT(E136,LEN(E136)-1))/100,1),IF(RIGHT(LOWER(E136),2)="km",VALUE(LEFT(E136,LEN(E136)-2)),IF(LOWER(E136)="race","race",E136)))))</f>
        <v/>
      </c>
    </row>
    <row r="137" ht="15" customHeight="1" s="21">
      <c r="A137" s="32" t="n"/>
      <c r="B137" s="32" t="n"/>
      <c r="C137" s="32" t="n"/>
      <c r="D137" s="35" t="n"/>
      <c r="E137" s="32" t="n"/>
      <c r="F137" s="32" t="n"/>
      <c r="G137" s="32" t="n"/>
      <c r="H137" s="33">
        <f>IF(A137="","",COUNTIFS('Run sessions'!$A$2:$A$401,A137,'Run sessions'!$B$2:$B$401,B137))</f>
        <v/>
      </c>
      <c r="I137" s="33">
        <f>IF(OR(A137="",D137=""),"",IFERROR(ROUND(D137*IF(INDEX(Programmes!$L$2:$L$10,MATCH(A137,Programmes!$A$2:$A$10,0))="",INDEX(Programmes!$K$2:$K$10,MATCH(A137,Programmes!$A$2:$A$10,0)),INDEX(Programmes!$L$2:$L$10,MATCH(A137,Programmes!$A$2:$A$10,0))),1),""))</f>
        <v/>
      </c>
      <c r="J137" s="33">
        <f>IF(I137="","",IF(LOWER(E137)="auto",ROUND(I137*Rules!$C$8,1),IF(RIGHT(E137,1)="%",ROUND(I137*VALUE(LEFT(E137,LEN(E137)-1))/100,1),IF(RIGHT(LOWER(E137),2)="km",VALUE(LEFT(E137,LEN(E137)-2)),IF(LOWER(E137)="race","race",E137)))))</f>
        <v/>
      </c>
    </row>
    <row r="138" ht="15" customHeight="1" s="21">
      <c r="A138" s="32" t="n"/>
      <c r="B138" s="32" t="n"/>
      <c r="C138" s="32" t="n"/>
      <c r="D138" s="35" t="n"/>
      <c r="E138" s="32" t="n"/>
      <c r="F138" s="32" t="n"/>
      <c r="G138" s="32" t="n"/>
      <c r="H138" s="33">
        <f>IF(A138="","",COUNTIFS('Run sessions'!$A$2:$A$401,A138,'Run sessions'!$B$2:$B$401,B138))</f>
        <v/>
      </c>
      <c r="I138" s="33">
        <f>IF(OR(A138="",D138=""),"",IFERROR(ROUND(D138*IF(INDEX(Programmes!$L$2:$L$10,MATCH(A138,Programmes!$A$2:$A$10,0))="",INDEX(Programmes!$K$2:$K$10,MATCH(A138,Programmes!$A$2:$A$10,0)),INDEX(Programmes!$L$2:$L$10,MATCH(A138,Programmes!$A$2:$A$10,0))),1),""))</f>
        <v/>
      </c>
      <c r="J138" s="33">
        <f>IF(I138="","",IF(LOWER(E138)="auto",ROUND(I138*Rules!$C$8,1),IF(RIGHT(E138,1)="%",ROUND(I138*VALUE(LEFT(E138,LEN(E138)-1))/100,1),IF(RIGHT(LOWER(E138),2)="km",VALUE(LEFT(E138,LEN(E138)-2)),IF(LOWER(E138)="race","race",E138)))))</f>
        <v/>
      </c>
    </row>
    <row r="139" ht="15" customHeight="1" s="21">
      <c r="A139" s="32" t="n"/>
      <c r="B139" s="32" t="n"/>
      <c r="C139" s="32" t="n"/>
      <c r="D139" s="35" t="n"/>
      <c r="E139" s="32" t="n"/>
      <c r="F139" s="32" t="n"/>
      <c r="G139" s="32" t="n"/>
      <c r="H139" s="33">
        <f>IF(A139="","",COUNTIFS('Run sessions'!$A$2:$A$401,A139,'Run sessions'!$B$2:$B$401,B139))</f>
        <v/>
      </c>
      <c r="I139" s="33">
        <f>IF(OR(A139="",D139=""),"",IFERROR(ROUND(D139*IF(INDEX(Programmes!$L$2:$L$10,MATCH(A139,Programmes!$A$2:$A$10,0))="",INDEX(Programmes!$K$2:$K$10,MATCH(A139,Programmes!$A$2:$A$10,0)),INDEX(Programmes!$L$2:$L$10,MATCH(A139,Programmes!$A$2:$A$10,0))),1),""))</f>
        <v/>
      </c>
      <c r="J139" s="33">
        <f>IF(I139="","",IF(LOWER(E139)="auto",ROUND(I139*Rules!$C$8,1),IF(RIGHT(E139,1)="%",ROUND(I139*VALUE(LEFT(E139,LEN(E139)-1))/100,1),IF(RIGHT(LOWER(E139),2)="km",VALUE(LEFT(E139,LEN(E139)-2)),IF(LOWER(E139)="race","race",E139)))))</f>
        <v/>
      </c>
    </row>
    <row r="140" ht="15" customHeight="1" s="21">
      <c r="A140" s="32" t="n"/>
      <c r="B140" s="32" t="n"/>
      <c r="C140" s="32" t="n"/>
      <c r="D140" s="35" t="n"/>
      <c r="E140" s="32" t="n"/>
      <c r="F140" s="32" t="n"/>
      <c r="G140" s="32" t="n"/>
      <c r="H140" s="33">
        <f>IF(A140="","",COUNTIFS('Run sessions'!$A$2:$A$401,A140,'Run sessions'!$B$2:$B$401,B140))</f>
        <v/>
      </c>
      <c r="I140" s="33">
        <f>IF(OR(A140="",D140=""),"",IFERROR(ROUND(D140*IF(INDEX(Programmes!$L$2:$L$10,MATCH(A140,Programmes!$A$2:$A$10,0))="",INDEX(Programmes!$K$2:$K$10,MATCH(A140,Programmes!$A$2:$A$10,0)),INDEX(Programmes!$L$2:$L$10,MATCH(A140,Programmes!$A$2:$A$10,0))),1),""))</f>
        <v/>
      </c>
      <c r="J140" s="33">
        <f>IF(I140="","",IF(LOWER(E140)="auto",ROUND(I140*Rules!$C$8,1),IF(RIGHT(E140,1)="%",ROUND(I140*VALUE(LEFT(E140,LEN(E140)-1))/100,1),IF(RIGHT(LOWER(E140),2)="km",VALUE(LEFT(E140,LEN(E140)-2)),IF(LOWER(E140)="race","race",E140)))))</f>
        <v/>
      </c>
    </row>
    <row r="141" ht="15" customHeight="1" s="21">
      <c r="A141" s="32" t="n"/>
      <c r="B141" s="32" t="n"/>
      <c r="C141" s="32" t="n"/>
      <c r="D141" s="35" t="n"/>
      <c r="E141" s="32" t="n"/>
      <c r="F141" s="32" t="n"/>
      <c r="G141" s="32" t="n"/>
      <c r="H141" s="33">
        <f>IF(A141="","",COUNTIFS('Run sessions'!$A$2:$A$401,A141,'Run sessions'!$B$2:$B$401,B141))</f>
        <v/>
      </c>
      <c r="I141" s="33">
        <f>IF(OR(A141="",D141=""),"",IFERROR(ROUND(D141*IF(INDEX(Programmes!$L$2:$L$10,MATCH(A141,Programmes!$A$2:$A$10,0))="",INDEX(Programmes!$K$2:$K$10,MATCH(A141,Programmes!$A$2:$A$10,0)),INDEX(Programmes!$L$2:$L$10,MATCH(A141,Programmes!$A$2:$A$10,0))),1),""))</f>
        <v/>
      </c>
      <c r="J141" s="33">
        <f>IF(I141="","",IF(LOWER(E141)="auto",ROUND(I141*Rules!$C$8,1),IF(RIGHT(E141,1)="%",ROUND(I141*VALUE(LEFT(E141,LEN(E141)-1))/100,1),IF(RIGHT(LOWER(E141),2)="km",VALUE(LEFT(E141,LEN(E141)-2)),IF(LOWER(E141)="race","race",E141)))))</f>
        <v/>
      </c>
    </row>
    <row r="142" ht="15" customHeight="1" s="21">
      <c r="A142" s="32" t="n"/>
      <c r="B142" s="32" t="n"/>
      <c r="C142" s="32" t="n"/>
      <c r="D142" s="35" t="n"/>
      <c r="E142" s="32" t="n"/>
      <c r="F142" s="32" t="n"/>
      <c r="G142" s="32" t="n"/>
      <c r="H142" s="33">
        <f>IF(A142="","",COUNTIFS('Run sessions'!$A$2:$A$401,A142,'Run sessions'!$B$2:$B$401,B142))</f>
        <v/>
      </c>
      <c r="I142" s="33">
        <f>IF(OR(A142="",D142=""),"",IFERROR(ROUND(D142*IF(INDEX(Programmes!$L$2:$L$10,MATCH(A142,Programmes!$A$2:$A$10,0))="",INDEX(Programmes!$K$2:$K$10,MATCH(A142,Programmes!$A$2:$A$10,0)),INDEX(Programmes!$L$2:$L$10,MATCH(A142,Programmes!$A$2:$A$10,0))),1),""))</f>
        <v/>
      </c>
      <c r="J142" s="33">
        <f>IF(I142="","",IF(LOWER(E142)="auto",ROUND(I142*Rules!$C$8,1),IF(RIGHT(E142,1)="%",ROUND(I142*VALUE(LEFT(E142,LEN(E142)-1))/100,1),IF(RIGHT(LOWER(E142),2)="km",VALUE(LEFT(E142,LEN(E142)-2)),IF(LOWER(E142)="race","race",E142)))))</f>
        <v/>
      </c>
    </row>
    <row r="143" ht="15" customHeight="1" s="21">
      <c r="A143" s="32" t="n"/>
      <c r="B143" s="32" t="n"/>
      <c r="C143" s="32" t="n"/>
      <c r="D143" s="35" t="n"/>
      <c r="E143" s="32" t="n"/>
      <c r="F143" s="32" t="n"/>
      <c r="G143" s="32" t="n"/>
      <c r="H143" s="33">
        <f>IF(A143="","",COUNTIFS('Run sessions'!$A$2:$A$401,A143,'Run sessions'!$B$2:$B$401,B143))</f>
        <v/>
      </c>
      <c r="I143" s="33">
        <f>IF(OR(A143="",D143=""),"",IFERROR(ROUND(D143*IF(INDEX(Programmes!$L$2:$L$10,MATCH(A143,Programmes!$A$2:$A$10,0))="",INDEX(Programmes!$K$2:$K$10,MATCH(A143,Programmes!$A$2:$A$10,0)),INDEX(Programmes!$L$2:$L$10,MATCH(A143,Programmes!$A$2:$A$10,0))),1),""))</f>
        <v/>
      </c>
      <c r="J143" s="33">
        <f>IF(I143="","",IF(LOWER(E143)="auto",ROUND(I143*Rules!$C$8,1),IF(RIGHT(E143,1)="%",ROUND(I143*VALUE(LEFT(E143,LEN(E143)-1))/100,1),IF(RIGHT(LOWER(E143),2)="km",VALUE(LEFT(E143,LEN(E143)-2)),IF(LOWER(E143)="race","race",E143)))))</f>
        <v/>
      </c>
    </row>
    <row r="144" ht="15" customHeight="1" s="21">
      <c r="A144" s="32" t="n"/>
      <c r="B144" s="32" t="n"/>
      <c r="C144" s="32" t="n"/>
      <c r="D144" s="35" t="n"/>
      <c r="E144" s="32" t="n"/>
      <c r="F144" s="32" t="n"/>
      <c r="G144" s="32" t="n"/>
      <c r="H144" s="33">
        <f>IF(A144="","",COUNTIFS('Run sessions'!$A$2:$A$401,A144,'Run sessions'!$B$2:$B$401,B144))</f>
        <v/>
      </c>
      <c r="I144" s="33">
        <f>IF(OR(A144="",D144=""),"",IFERROR(ROUND(D144*IF(INDEX(Programmes!$L$2:$L$10,MATCH(A144,Programmes!$A$2:$A$10,0))="",INDEX(Programmes!$K$2:$K$10,MATCH(A144,Programmes!$A$2:$A$10,0)),INDEX(Programmes!$L$2:$L$10,MATCH(A144,Programmes!$A$2:$A$10,0))),1),""))</f>
        <v/>
      </c>
      <c r="J144" s="33">
        <f>IF(I144="","",IF(LOWER(E144)="auto",ROUND(I144*Rules!$C$8,1),IF(RIGHT(E144,1)="%",ROUND(I144*VALUE(LEFT(E144,LEN(E144)-1))/100,1),IF(RIGHT(LOWER(E144),2)="km",VALUE(LEFT(E144,LEN(E144)-2)),IF(LOWER(E144)="race","race",E144)))))</f>
        <v/>
      </c>
    </row>
    <row r="145" ht="15" customHeight="1" s="21">
      <c r="A145" s="32" t="n"/>
      <c r="B145" s="32" t="n"/>
      <c r="C145" s="32" t="n"/>
      <c r="D145" s="35" t="n"/>
      <c r="E145" s="32" t="n"/>
      <c r="F145" s="32" t="n"/>
      <c r="G145" s="32" t="n"/>
      <c r="H145" s="33">
        <f>IF(A145="","",COUNTIFS('Run sessions'!$A$2:$A$401,A145,'Run sessions'!$B$2:$B$401,B145))</f>
        <v/>
      </c>
      <c r="I145" s="33">
        <f>IF(OR(A145="",D145=""),"",IFERROR(ROUND(D145*IF(INDEX(Programmes!$L$2:$L$10,MATCH(A145,Programmes!$A$2:$A$10,0))="",INDEX(Programmes!$K$2:$K$10,MATCH(A145,Programmes!$A$2:$A$10,0)),INDEX(Programmes!$L$2:$L$10,MATCH(A145,Programmes!$A$2:$A$10,0))),1),""))</f>
        <v/>
      </c>
      <c r="J145" s="33">
        <f>IF(I145="","",IF(LOWER(E145)="auto",ROUND(I145*Rules!$C$8,1),IF(RIGHT(E145,1)="%",ROUND(I145*VALUE(LEFT(E145,LEN(E145)-1))/100,1),IF(RIGHT(LOWER(E145),2)="km",VALUE(LEFT(E145,LEN(E145)-2)),IF(LOWER(E145)="race","race",E145)))))</f>
        <v/>
      </c>
    </row>
    <row r="146" ht="15" customHeight="1" s="21">
      <c r="A146" s="32" t="n"/>
      <c r="B146" s="32" t="n"/>
      <c r="C146" s="32" t="n"/>
      <c r="D146" s="35" t="n"/>
      <c r="E146" s="32" t="n"/>
      <c r="F146" s="32" t="n"/>
      <c r="G146" s="32" t="n"/>
      <c r="H146" s="33">
        <f>IF(A146="","",COUNTIFS('Run sessions'!$A$2:$A$401,A146,'Run sessions'!$B$2:$B$401,B146))</f>
        <v/>
      </c>
      <c r="I146" s="33">
        <f>IF(OR(A146="",D146=""),"",IFERROR(ROUND(D146*IF(INDEX(Programmes!$L$2:$L$10,MATCH(A146,Programmes!$A$2:$A$10,0))="",INDEX(Programmes!$K$2:$K$10,MATCH(A146,Programmes!$A$2:$A$10,0)),INDEX(Programmes!$L$2:$L$10,MATCH(A146,Programmes!$A$2:$A$10,0))),1),""))</f>
        <v/>
      </c>
      <c r="J146" s="33">
        <f>IF(I146="","",IF(LOWER(E146)="auto",ROUND(I146*Rules!$C$8,1),IF(RIGHT(E146,1)="%",ROUND(I146*VALUE(LEFT(E146,LEN(E146)-1))/100,1),IF(RIGHT(LOWER(E146),2)="km",VALUE(LEFT(E146,LEN(E146)-2)),IF(LOWER(E146)="race","race",E146)))))</f>
        <v/>
      </c>
    </row>
    <row r="147" ht="15" customHeight="1" s="21">
      <c r="A147" s="32" t="n"/>
      <c r="B147" s="32" t="n"/>
      <c r="C147" s="32" t="n"/>
      <c r="D147" s="35" t="n"/>
      <c r="E147" s="32" t="n"/>
      <c r="F147" s="32" t="n"/>
      <c r="G147" s="32" t="n"/>
      <c r="H147" s="33">
        <f>IF(A147="","",COUNTIFS('Run sessions'!$A$2:$A$401,A147,'Run sessions'!$B$2:$B$401,B147))</f>
        <v/>
      </c>
      <c r="I147" s="33">
        <f>IF(OR(A147="",D147=""),"",IFERROR(ROUND(D147*IF(INDEX(Programmes!$L$2:$L$10,MATCH(A147,Programmes!$A$2:$A$10,0))="",INDEX(Programmes!$K$2:$K$10,MATCH(A147,Programmes!$A$2:$A$10,0)),INDEX(Programmes!$L$2:$L$10,MATCH(A147,Programmes!$A$2:$A$10,0))),1),""))</f>
        <v/>
      </c>
      <c r="J147" s="33">
        <f>IF(I147="","",IF(LOWER(E147)="auto",ROUND(I147*Rules!$C$8,1),IF(RIGHT(E147,1)="%",ROUND(I147*VALUE(LEFT(E147,LEN(E147)-1))/100,1),IF(RIGHT(LOWER(E147),2)="km",VALUE(LEFT(E147,LEN(E147)-2)),IF(LOWER(E147)="race","race",E147)))))</f>
        <v/>
      </c>
    </row>
    <row r="148" ht="15" customHeight="1" s="21">
      <c r="A148" s="32" t="n"/>
      <c r="B148" s="32" t="n"/>
      <c r="C148" s="32" t="n"/>
      <c r="D148" s="35" t="n"/>
      <c r="E148" s="32" t="n"/>
      <c r="F148" s="32" t="n"/>
      <c r="G148" s="32" t="n"/>
      <c r="H148" s="33">
        <f>IF(A148="","",COUNTIFS('Run sessions'!$A$2:$A$401,A148,'Run sessions'!$B$2:$B$401,B148))</f>
        <v/>
      </c>
      <c r="I148" s="33">
        <f>IF(OR(A148="",D148=""),"",IFERROR(ROUND(D148*IF(INDEX(Programmes!$L$2:$L$10,MATCH(A148,Programmes!$A$2:$A$10,0))="",INDEX(Programmes!$K$2:$K$10,MATCH(A148,Programmes!$A$2:$A$10,0)),INDEX(Programmes!$L$2:$L$10,MATCH(A148,Programmes!$A$2:$A$10,0))),1),""))</f>
        <v/>
      </c>
      <c r="J148" s="33">
        <f>IF(I148="","",IF(LOWER(E148)="auto",ROUND(I148*Rules!$C$8,1),IF(RIGHT(E148,1)="%",ROUND(I148*VALUE(LEFT(E148,LEN(E148)-1))/100,1),IF(RIGHT(LOWER(E148),2)="km",VALUE(LEFT(E148,LEN(E148)-2)),IF(LOWER(E148)="race","race",E148)))))</f>
        <v/>
      </c>
    </row>
    <row r="149" ht="15" customHeight="1" s="21">
      <c r="A149" s="32" t="n"/>
      <c r="B149" s="32" t="n"/>
      <c r="C149" s="32" t="n"/>
      <c r="D149" s="35" t="n"/>
      <c r="E149" s="32" t="n"/>
      <c r="F149" s="32" t="n"/>
      <c r="G149" s="32" t="n"/>
      <c r="H149" s="33">
        <f>IF(A149="","",COUNTIFS('Run sessions'!$A$2:$A$401,A149,'Run sessions'!$B$2:$B$401,B149))</f>
        <v/>
      </c>
      <c r="I149" s="33">
        <f>IF(OR(A149="",D149=""),"",IFERROR(ROUND(D149*IF(INDEX(Programmes!$L$2:$L$10,MATCH(A149,Programmes!$A$2:$A$10,0))="",INDEX(Programmes!$K$2:$K$10,MATCH(A149,Programmes!$A$2:$A$10,0)),INDEX(Programmes!$L$2:$L$10,MATCH(A149,Programmes!$A$2:$A$10,0))),1),""))</f>
        <v/>
      </c>
      <c r="J149" s="33">
        <f>IF(I149="","",IF(LOWER(E149)="auto",ROUND(I149*Rules!$C$8,1),IF(RIGHT(E149,1)="%",ROUND(I149*VALUE(LEFT(E149,LEN(E149)-1))/100,1),IF(RIGHT(LOWER(E149),2)="km",VALUE(LEFT(E149,LEN(E149)-2)),IF(LOWER(E149)="race","race",E149)))))</f>
        <v/>
      </c>
    </row>
    <row r="150" ht="15" customHeight="1" s="21">
      <c r="A150" s="32" t="n"/>
      <c r="B150" s="32" t="n"/>
      <c r="C150" s="32" t="n"/>
      <c r="D150" s="35" t="n"/>
      <c r="E150" s="32" t="n"/>
      <c r="F150" s="32" t="n"/>
      <c r="G150" s="32" t="n"/>
      <c r="H150" s="33">
        <f>IF(A150="","",COUNTIFS('Run sessions'!$A$2:$A$401,A150,'Run sessions'!$B$2:$B$401,B150))</f>
        <v/>
      </c>
      <c r="I150" s="33">
        <f>IF(OR(A150="",D150=""),"",IFERROR(ROUND(D150*IF(INDEX(Programmes!$L$2:$L$10,MATCH(A150,Programmes!$A$2:$A$10,0))="",INDEX(Programmes!$K$2:$K$10,MATCH(A150,Programmes!$A$2:$A$10,0)),INDEX(Programmes!$L$2:$L$10,MATCH(A150,Programmes!$A$2:$A$10,0))),1),""))</f>
        <v/>
      </c>
      <c r="J150" s="33">
        <f>IF(I150="","",IF(LOWER(E150)="auto",ROUND(I150*Rules!$C$8,1),IF(RIGHT(E150,1)="%",ROUND(I150*VALUE(LEFT(E150,LEN(E150)-1))/100,1),IF(RIGHT(LOWER(E150),2)="km",VALUE(LEFT(E150,LEN(E150)-2)),IF(LOWER(E150)="race","race",E150)))))</f>
        <v/>
      </c>
    </row>
    <row r="151" ht="15" customHeight="1" s="21">
      <c r="A151" s="32" t="n"/>
      <c r="B151" s="32" t="n"/>
      <c r="C151" s="32" t="n"/>
      <c r="D151" s="35" t="n"/>
      <c r="E151" s="32" t="n"/>
      <c r="F151" s="32" t="n"/>
      <c r="G151" s="32" t="n"/>
      <c r="H151" s="33">
        <f>IF(A151="","",COUNTIFS('Run sessions'!$A$2:$A$401,A151,'Run sessions'!$B$2:$B$401,B151))</f>
        <v/>
      </c>
      <c r="I151" s="33">
        <f>IF(OR(A151="",D151=""),"",IFERROR(ROUND(D151*IF(INDEX(Programmes!$L$2:$L$10,MATCH(A151,Programmes!$A$2:$A$10,0))="",INDEX(Programmes!$K$2:$K$10,MATCH(A151,Programmes!$A$2:$A$10,0)),INDEX(Programmes!$L$2:$L$10,MATCH(A151,Programmes!$A$2:$A$10,0))),1),""))</f>
        <v/>
      </c>
      <c r="J151" s="33">
        <f>IF(I151="","",IF(LOWER(E151)="auto",ROUND(I151*Rules!$C$8,1),IF(RIGHT(E151,1)="%",ROUND(I151*VALUE(LEFT(E151,LEN(E151)-1))/100,1),IF(RIGHT(LOWER(E151),2)="km",VALUE(LEFT(E151,LEN(E151)-2)),IF(LOWER(E151)="race","race",E151)))))</f>
        <v/>
      </c>
    </row>
    <row r="152" ht="15" customHeight="1" s="21">
      <c r="A152" s="32" t="n"/>
      <c r="B152" s="32" t="n"/>
      <c r="C152" s="32" t="n"/>
      <c r="D152" s="35" t="n"/>
      <c r="E152" s="32" t="n"/>
      <c r="F152" s="32" t="n"/>
      <c r="G152" s="32" t="n"/>
      <c r="H152" s="33">
        <f>IF(A152="","",COUNTIFS('Run sessions'!$A$2:$A$401,A152,'Run sessions'!$B$2:$B$401,B152))</f>
        <v/>
      </c>
      <c r="I152" s="33">
        <f>IF(OR(A152="",D152=""),"",IFERROR(ROUND(D152*IF(INDEX(Programmes!$L$2:$L$10,MATCH(A152,Programmes!$A$2:$A$10,0))="",INDEX(Programmes!$K$2:$K$10,MATCH(A152,Programmes!$A$2:$A$10,0)),INDEX(Programmes!$L$2:$L$10,MATCH(A152,Programmes!$A$2:$A$10,0))),1),""))</f>
        <v/>
      </c>
      <c r="J152" s="33">
        <f>IF(I152="","",IF(LOWER(E152)="auto",ROUND(I152*Rules!$C$8,1),IF(RIGHT(E152,1)="%",ROUND(I152*VALUE(LEFT(E152,LEN(E152)-1))/100,1),IF(RIGHT(LOWER(E152),2)="km",VALUE(LEFT(E152,LEN(E152)-2)),IF(LOWER(E152)="race","race",E152)))))</f>
        <v/>
      </c>
    </row>
    <row r="153" ht="15" customHeight="1" s="21">
      <c r="A153" s="32" t="n"/>
      <c r="B153" s="32" t="n"/>
      <c r="C153" s="32" t="n"/>
      <c r="D153" s="35" t="n"/>
      <c r="E153" s="32" t="n"/>
      <c r="F153" s="32" t="n"/>
      <c r="G153" s="32" t="n"/>
      <c r="H153" s="33">
        <f>IF(A153="","",COUNTIFS('Run sessions'!$A$2:$A$401,A153,'Run sessions'!$B$2:$B$401,B153))</f>
        <v/>
      </c>
      <c r="I153" s="33">
        <f>IF(OR(A153="",D153=""),"",IFERROR(ROUND(D153*IF(INDEX(Programmes!$L$2:$L$10,MATCH(A153,Programmes!$A$2:$A$10,0))="",INDEX(Programmes!$K$2:$K$10,MATCH(A153,Programmes!$A$2:$A$10,0)),INDEX(Programmes!$L$2:$L$10,MATCH(A153,Programmes!$A$2:$A$10,0))),1),""))</f>
        <v/>
      </c>
      <c r="J153" s="33">
        <f>IF(I153="","",IF(LOWER(E153)="auto",ROUND(I153*Rules!$C$8,1),IF(RIGHT(E153,1)="%",ROUND(I153*VALUE(LEFT(E153,LEN(E153)-1))/100,1),IF(RIGHT(LOWER(E153),2)="km",VALUE(LEFT(E153,LEN(E153)-2)),IF(LOWER(E153)="race","race",E153)))))</f>
        <v/>
      </c>
    </row>
    <row r="154" ht="15" customHeight="1" s="21">
      <c r="A154" s="32" t="n"/>
      <c r="B154" s="32" t="n"/>
      <c r="C154" s="32" t="n"/>
      <c r="D154" s="35" t="n"/>
      <c r="E154" s="32" t="n"/>
      <c r="F154" s="32" t="n"/>
      <c r="G154" s="32" t="n"/>
      <c r="H154" s="33">
        <f>IF(A154="","",COUNTIFS('Run sessions'!$A$2:$A$401,A154,'Run sessions'!$B$2:$B$401,B154))</f>
        <v/>
      </c>
      <c r="I154" s="33">
        <f>IF(OR(A154="",D154=""),"",IFERROR(ROUND(D154*IF(INDEX(Programmes!$L$2:$L$10,MATCH(A154,Programmes!$A$2:$A$10,0))="",INDEX(Programmes!$K$2:$K$10,MATCH(A154,Programmes!$A$2:$A$10,0)),INDEX(Programmes!$L$2:$L$10,MATCH(A154,Programmes!$A$2:$A$10,0))),1),""))</f>
        <v/>
      </c>
      <c r="J154" s="33">
        <f>IF(I154="","",IF(LOWER(E154)="auto",ROUND(I154*Rules!$C$8,1),IF(RIGHT(E154,1)="%",ROUND(I154*VALUE(LEFT(E154,LEN(E154)-1))/100,1),IF(RIGHT(LOWER(E154),2)="km",VALUE(LEFT(E154,LEN(E154)-2)),IF(LOWER(E154)="race","race",E154)))))</f>
        <v/>
      </c>
    </row>
    <row r="155" ht="15" customHeight="1" s="21">
      <c r="A155" s="32" t="n"/>
      <c r="B155" s="32" t="n"/>
      <c r="C155" s="32" t="n"/>
      <c r="D155" s="35" t="n"/>
      <c r="E155" s="32" t="n"/>
      <c r="F155" s="32" t="n"/>
      <c r="G155" s="32" t="n"/>
      <c r="H155" s="33">
        <f>IF(A155="","",COUNTIFS('Run sessions'!$A$2:$A$401,A155,'Run sessions'!$B$2:$B$401,B155))</f>
        <v/>
      </c>
      <c r="I155" s="33">
        <f>IF(OR(A155="",D155=""),"",IFERROR(ROUND(D155*IF(INDEX(Programmes!$L$2:$L$10,MATCH(A155,Programmes!$A$2:$A$10,0))="",INDEX(Programmes!$K$2:$K$10,MATCH(A155,Programmes!$A$2:$A$10,0)),INDEX(Programmes!$L$2:$L$10,MATCH(A155,Programmes!$A$2:$A$10,0))),1),""))</f>
        <v/>
      </c>
      <c r="J155" s="33">
        <f>IF(I155="","",IF(LOWER(E155)="auto",ROUND(I155*Rules!$C$8,1),IF(RIGHT(E155,1)="%",ROUND(I155*VALUE(LEFT(E155,LEN(E155)-1))/100,1),IF(RIGHT(LOWER(E155),2)="km",VALUE(LEFT(E155,LEN(E155)-2)),IF(LOWER(E155)="race","race",E155)))))</f>
        <v/>
      </c>
    </row>
    <row r="156" ht="15" customHeight="1" s="21">
      <c r="A156" s="32" t="n"/>
      <c r="B156" s="32" t="n"/>
      <c r="C156" s="32" t="n"/>
      <c r="D156" s="35" t="n"/>
      <c r="E156" s="32" t="n"/>
      <c r="F156" s="32" t="n"/>
      <c r="G156" s="32" t="n"/>
      <c r="H156" s="33">
        <f>IF(A156="","",COUNTIFS('Run sessions'!$A$2:$A$401,A156,'Run sessions'!$B$2:$B$401,B156))</f>
        <v/>
      </c>
      <c r="I156" s="33">
        <f>IF(OR(A156="",D156=""),"",IFERROR(ROUND(D156*IF(INDEX(Programmes!$L$2:$L$10,MATCH(A156,Programmes!$A$2:$A$10,0))="",INDEX(Programmes!$K$2:$K$10,MATCH(A156,Programmes!$A$2:$A$10,0)),INDEX(Programmes!$L$2:$L$10,MATCH(A156,Programmes!$A$2:$A$10,0))),1),""))</f>
        <v/>
      </c>
      <c r="J156" s="33">
        <f>IF(I156="","",IF(LOWER(E156)="auto",ROUND(I156*Rules!$C$8,1),IF(RIGHT(E156,1)="%",ROUND(I156*VALUE(LEFT(E156,LEN(E156)-1))/100,1),IF(RIGHT(LOWER(E156),2)="km",VALUE(LEFT(E156,LEN(E156)-2)),IF(LOWER(E156)="race","race",E156)))))</f>
        <v/>
      </c>
    </row>
    <row r="157" ht="15" customHeight="1" s="21">
      <c r="A157" s="32" t="n"/>
      <c r="B157" s="32" t="n"/>
      <c r="C157" s="32" t="n"/>
      <c r="D157" s="35" t="n"/>
      <c r="E157" s="32" t="n"/>
      <c r="F157" s="32" t="n"/>
      <c r="G157" s="32" t="n"/>
      <c r="H157" s="33">
        <f>IF(A157="","",COUNTIFS('Run sessions'!$A$2:$A$401,A157,'Run sessions'!$B$2:$B$401,B157))</f>
        <v/>
      </c>
      <c r="I157" s="33">
        <f>IF(OR(A157="",D157=""),"",IFERROR(ROUND(D157*IF(INDEX(Programmes!$L$2:$L$10,MATCH(A157,Programmes!$A$2:$A$10,0))="",INDEX(Programmes!$K$2:$K$10,MATCH(A157,Programmes!$A$2:$A$10,0)),INDEX(Programmes!$L$2:$L$10,MATCH(A157,Programmes!$A$2:$A$10,0))),1),""))</f>
        <v/>
      </c>
      <c r="J157" s="33">
        <f>IF(I157="","",IF(LOWER(E157)="auto",ROUND(I157*Rules!$C$8,1),IF(RIGHT(E157,1)="%",ROUND(I157*VALUE(LEFT(E157,LEN(E157)-1))/100,1),IF(RIGHT(LOWER(E157),2)="km",VALUE(LEFT(E157,LEN(E157)-2)),IF(LOWER(E157)="race","race",E157)))))</f>
        <v/>
      </c>
    </row>
    <row r="158" ht="15" customHeight="1" s="21">
      <c r="A158" s="32" t="n"/>
      <c r="B158" s="32" t="n"/>
      <c r="C158" s="32" t="n"/>
      <c r="D158" s="35" t="n"/>
      <c r="E158" s="32" t="n"/>
      <c r="F158" s="32" t="n"/>
      <c r="G158" s="32" t="n"/>
      <c r="H158" s="33">
        <f>IF(A158="","",COUNTIFS('Run sessions'!$A$2:$A$401,A158,'Run sessions'!$B$2:$B$401,B158))</f>
        <v/>
      </c>
      <c r="I158" s="33">
        <f>IF(OR(A158="",D158=""),"",IFERROR(ROUND(D158*IF(INDEX(Programmes!$L$2:$L$10,MATCH(A158,Programmes!$A$2:$A$10,0))="",INDEX(Programmes!$K$2:$K$10,MATCH(A158,Programmes!$A$2:$A$10,0)),INDEX(Programmes!$L$2:$L$10,MATCH(A158,Programmes!$A$2:$A$10,0))),1),""))</f>
        <v/>
      </c>
      <c r="J158" s="33">
        <f>IF(I158="","",IF(LOWER(E158)="auto",ROUND(I158*Rules!$C$8,1),IF(RIGHT(E158,1)="%",ROUND(I158*VALUE(LEFT(E158,LEN(E158)-1))/100,1),IF(RIGHT(LOWER(E158),2)="km",VALUE(LEFT(E158,LEN(E158)-2)),IF(LOWER(E158)="race","race",E158)))))</f>
        <v/>
      </c>
    </row>
    <row r="159" ht="15" customHeight="1" s="21">
      <c r="A159" s="32" t="n"/>
      <c r="B159" s="32" t="n"/>
      <c r="C159" s="32" t="n"/>
      <c r="D159" s="35" t="n"/>
      <c r="E159" s="32" t="n"/>
      <c r="F159" s="32" t="n"/>
      <c r="G159" s="32" t="n"/>
      <c r="H159" s="33">
        <f>IF(A159="","",COUNTIFS('Run sessions'!$A$2:$A$401,A159,'Run sessions'!$B$2:$B$401,B159))</f>
        <v/>
      </c>
      <c r="I159" s="33">
        <f>IF(OR(A159="",D159=""),"",IFERROR(ROUND(D159*IF(INDEX(Programmes!$L$2:$L$10,MATCH(A159,Programmes!$A$2:$A$10,0))="",INDEX(Programmes!$K$2:$K$10,MATCH(A159,Programmes!$A$2:$A$10,0)),INDEX(Programmes!$L$2:$L$10,MATCH(A159,Programmes!$A$2:$A$10,0))),1),""))</f>
        <v/>
      </c>
      <c r="J159" s="33">
        <f>IF(I159="","",IF(LOWER(E159)="auto",ROUND(I159*Rules!$C$8,1),IF(RIGHT(E159,1)="%",ROUND(I159*VALUE(LEFT(E159,LEN(E159)-1))/100,1),IF(RIGHT(LOWER(E159),2)="km",VALUE(LEFT(E159,LEN(E159)-2)),IF(LOWER(E159)="race","race",E159)))))</f>
        <v/>
      </c>
    </row>
    <row r="160" ht="15" customHeight="1" s="21">
      <c r="A160" s="32" t="n"/>
      <c r="B160" s="32" t="n"/>
      <c r="C160" s="32" t="n"/>
      <c r="D160" s="35" t="n"/>
      <c r="E160" s="32" t="n"/>
      <c r="F160" s="32" t="n"/>
      <c r="G160" s="32" t="n"/>
      <c r="H160" s="33">
        <f>IF(A160="","",COUNTIFS('Run sessions'!$A$2:$A$401,A160,'Run sessions'!$B$2:$B$401,B160))</f>
        <v/>
      </c>
      <c r="I160" s="33">
        <f>IF(OR(A160="",D160=""),"",IFERROR(ROUND(D160*IF(INDEX(Programmes!$L$2:$L$10,MATCH(A160,Programmes!$A$2:$A$10,0))="",INDEX(Programmes!$K$2:$K$10,MATCH(A160,Programmes!$A$2:$A$10,0)),INDEX(Programmes!$L$2:$L$10,MATCH(A160,Programmes!$A$2:$A$10,0))),1),""))</f>
        <v/>
      </c>
      <c r="J160" s="33">
        <f>IF(I160="","",IF(LOWER(E160)="auto",ROUND(I160*Rules!$C$8,1),IF(RIGHT(E160,1)="%",ROUND(I160*VALUE(LEFT(E160,LEN(E160)-1))/100,1),IF(RIGHT(LOWER(E160),2)="km",VALUE(LEFT(E160,LEN(E160)-2)),IF(LOWER(E160)="race","race",E160)))))</f>
        <v/>
      </c>
    </row>
    <row r="161" ht="15" customHeight="1" s="21">
      <c r="A161" s="32" t="n"/>
      <c r="B161" s="32" t="n"/>
      <c r="C161" s="32" t="n"/>
      <c r="D161" s="35" t="n"/>
      <c r="E161" s="32" t="n"/>
      <c r="F161" s="32" t="n"/>
      <c r="G161" s="32" t="n"/>
      <c r="H161" s="33">
        <f>IF(A161="","",COUNTIFS('Run sessions'!$A$2:$A$401,A161,'Run sessions'!$B$2:$B$401,B161))</f>
        <v/>
      </c>
      <c r="I161" s="33">
        <f>IF(OR(A161="",D161=""),"",IFERROR(ROUND(D161*IF(INDEX(Programmes!$L$2:$L$10,MATCH(A161,Programmes!$A$2:$A$10,0))="",INDEX(Programmes!$K$2:$K$10,MATCH(A161,Programmes!$A$2:$A$10,0)),INDEX(Programmes!$L$2:$L$10,MATCH(A161,Programmes!$A$2:$A$10,0))),1),""))</f>
        <v/>
      </c>
      <c r="J161" s="33">
        <f>IF(I161="","",IF(LOWER(E161)="auto",ROUND(I161*Rules!$C$8,1),IF(RIGHT(E161,1)="%",ROUND(I161*VALUE(LEFT(E161,LEN(E161)-1))/100,1),IF(RIGHT(LOWER(E161),2)="km",VALUE(LEFT(E161,LEN(E161)-2)),IF(LOWER(E161)="race","race",E161)))))</f>
        <v/>
      </c>
    </row>
    <row r="162" ht="15" customHeight="1" s="21">
      <c r="A162" s="32" t="n"/>
      <c r="B162" s="32" t="n"/>
      <c r="C162" s="32" t="n"/>
      <c r="D162" s="35" t="n"/>
      <c r="E162" s="32" t="n"/>
      <c r="F162" s="32" t="n"/>
      <c r="G162" s="32" t="n"/>
      <c r="H162" s="33">
        <f>IF(A162="","",COUNTIFS('Run sessions'!$A$2:$A$401,A162,'Run sessions'!$B$2:$B$401,B162))</f>
        <v/>
      </c>
      <c r="I162" s="33">
        <f>IF(OR(A162="",D162=""),"",IFERROR(ROUND(D162*IF(INDEX(Programmes!$L$2:$L$10,MATCH(A162,Programmes!$A$2:$A$10,0))="",INDEX(Programmes!$K$2:$K$10,MATCH(A162,Programmes!$A$2:$A$10,0)),INDEX(Programmes!$L$2:$L$10,MATCH(A162,Programmes!$A$2:$A$10,0))),1),""))</f>
        <v/>
      </c>
      <c r="J162" s="33">
        <f>IF(I162="","",IF(LOWER(E162)="auto",ROUND(I162*Rules!$C$8,1),IF(RIGHT(E162,1)="%",ROUND(I162*VALUE(LEFT(E162,LEN(E162)-1))/100,1),IF(RIGHT(LOWER(E162),2)="km",VALUE(LEFT(E162,LEN(E162)-2)),IF(LOWER(E162)="race","race",E162)))))</f>
        <v/>
      </c>
    </row>
    <row r="163" ht="15" customHeight="1" s="21">
      <c r="A163" s="32" t="n"/>
      <c r="B163" s="32" t="n"/>
      <c r="C163" s="32" t="n"/>
      <c r="D163" s="35" t="n"/>
      <c r="E163" s="32" t="n"/>
      <c r="F163" s="32" t="n"/>
      <c r="G163" s="32" t="n"/>
      <c r="H163" s="33">
        <f>IF(A163="","",COUNTIFS('Run sessions'!$A$2:$A$401,A163,'Run sessions'!$B$2:$B$401,B163))</f>
        <v/>
      </c>
      <c r="I163" s="33">
        <f>IF(OR(A163="",D163=""),"",IFERROR(ROUND(D163*IF(INDEX(Programmes!$L$2:$L$10,MATCH(A163,Programmes!$A$2:$A$10,0))="",INDEX(Programmes!$K$2:$K$10,MATCH(A163,Programmes!$A$2:$A$10,0)),INDEX(Programmes!$L$2:$L$10,MATCH(A163,Programmes!$A$2:$A$10,0))),1),""))</f>
        <v/>
      </c>
      <c r="J163" s="33">
        <f>IF(I163="","",IF(LOWER(E163)="auto",ROUND(I163*Rules!$C$8,1),IF(RIGHT(E163,1)="%",ROUND(I163*VALUE(LEFT(E163,LEN(E163)-1))/100,1),IF(RIGHT(LOWER(E163),2)="km",VALUE(LEFT(E163,LEN(E163)-2)),IF(LOWER(E163)="race","race",E163)))))</f>
        <v/>
      </c>
    </row>
    <row r="164" ht="15" customHeight="1" s="21">
      <c r="A164" s="32" t="n"/>
      <c r="B164" s="32" t="n"/>
      <c r="C164" s="32" t="n"/>
      <c r="D164" s="35" t="n"/>
      <c r="E164" s="32" t="n"/>
      <c r="F164" s="32" t="n"/>
      <c r="G164" s="32" t="n"/>
      <c r="H164" s="33">
        <f>IF(A164="","",COUNTIFS('Run sessions'!$A$2:$A$401,A164,'Run sessions'!$B$2:$B$401,B164))</f>
        <v/>
      </c>
      <c r="I164" s="33">
        <f>IF(OR(A164="",D164=""),"",IFERROR(ROUND(D164*IF(INDEX(Programmes!$L$2:$L$10,MATCH(A164,Programmes!$A$2:$A$10,0))="",INDEX(Programmes!$K$2:$K$10,MATCH(A164,Programmes!$A$2:$A$10,0)),INDEX(Programmes!$L$2:$L$10,MATCH(A164,Programmes!$A$2:$A$10,0))),1),""))</f>
        <v/>
      </c>
      <c r="J164" s="33">
        <f>IF(I164="","",IF(LOWER(E164)="auto",ROUND(I164*Rules!$C$8,1),IF(RIGHT(E164,1)="%",ROUND(I164*VALUE(LEFT(E164,LEN(E164)-1))/100,1),IF(RIGHT(LOWER(E164),2)="km",VALUE(LEFT(E164,LEN(E164)-2)),IF(LOWER(E164)="race","race",E164)))))</f>
        <v/>
      </c>
    </row>
    <row r="165" ht="15" customHeight="1" s="21">
      <c r="A165" s="32" t="n"/>
      <c r="B165" s="32" t="n"/>
      <c r="C165" s="32" t="n"/>
      <c r="D165" s="35" t="n"/>
      <c r="E165" s="32" t="n"/>
      <c r="F165" s="32" t="n"/>
      <c r="G165" s="32" t="n"/>
      <c r="H165" s="33">
        <f>IF(A165="","",COUNTIFS('Run sessions'!$A$2:$A$401,A165,'Run sessions'!$B$2:$B$401,B165))</f>
        <v/>
      </c>
      <c r="I165" s="33">
        <f>IF(OR(A165="",D165=""),"",IFERROR(ROUND(D165*IF(INDEX(Programmes!$L$2:$L$10,MATCH(A165,Programmes!$A$2:$A$10,0))="",INDEX(Programmes!$K$2:$K$10,MATCH(A165,Programmes!$A$2:$A$10,0)),INDEX(Programmes!$L$2:$L$10,MATCH(A165,Programmes!$A$2:$A$10,0))),1),""))</f>
        <v/>
      </c>
      <c r="J165" s="33">
        <f>IF(I165="","",IF(LOWER(E165)="auto",ROUND(I165*Rules!$C$8,1),IF(RIGHT(E165,1)="%",ROUND(I165*VALUE(LEFT(E165,LEN(E165)-1))/100,1),IF(RIGHT(LOWER(E165),2)="km",VALUE(LEFT(E165,LEN(E165)-2)),IF(LOWER(E165)="race","race",E165)))))</f>
        <v/>
      </c>
    </row>
    <row r="166" ht="15" customHeight="1" s="21">
      <c r="A166" s="32" t="n"/>
      <c r="B166" s="32" t="n"/>
      <c r="C166" s="32" t="n"/>
      <c r="D166" s="35" t="n"/>
      <c r="E166" s="32" t="n"/>
      <c r="F166" s="32" t="n"/>
      <c r="G166" s="32" t="n"/>
      <c r="H166" s="33">
        <f>IF(A166="","",COUNTIFS('Run sessions'!$A$2:$A$401,A166,'Run sessions'!$B$2:$B$401,B166))</f>
        <v/>
      </c>
      <c r="I166" s="33">
        <f>IF(OR(A166="",D166=""),"",IFERROR(ROUND(D166*IF(INDEX(Programmes!$L$2:$L$10,MATCH(A166,Programmes!$A$2:$A$10,0))="",INDEX(Programmes!$K$2:$K$10,MATCH(A166,Programmes!$A$2:$A$10,0)),INDEX(Programmes!$L$2:$L$10,MATCH(A166,Programmes!$A$2:$A$10,0))),1),""))</f>
        <v/>
      </c>
      <c r="J166" s="33">
        <f>IF(I166="","",IF(LOWER(E166)="auto",ROUND(I166*Rules!$C$8,1),IF(RIGHT(E166,1)="%",ROUND(I166*VALUE(LEFT(E166,LEN(E166)-1))/100,1),IF(RIGHT(LOWER(E166),2)="km",VALUE(LEFT(E166,LEN(E166)-2)),IF(LOWER(E166)="race","race",E166)))))</f>
        <v/>
      </c>
    </row>
    <row r="167" ht="15" customHeight="1" s="21">
      <c r="A167" s="32" t="n"/>
      <c r="B167" s="32" t="n"/>
      <c r="C167" s="32" t="n"/>
      <c r="D167" s="35" t="n"/>
      <c r="E167" s="32" t="n"/>
      <c r="F167" s="32" t="n"/>
      <c r="G167" s="32" t="n"/>
      <c r="H167" s="33">
        <f>IF(A167="","",COUNTIFS('Run sessions'!$A$2:$A$401,A167,'Run sessions'!$B$2:$B$401,B167))</f>
        <v/>
      </c>
      <c r="I167" s="33">
        <f>IF(OR(A167="",D167=""),"",IFERROR(ROUND(D167*IF(INDEX(Programmes!$L$2:$L$10,MATCH(A167,Programmes!$A$2:$A$10,0))="",INDEX(Programmes!$K$2:$K$10,MATCH(A167,Programmes!$A$2:$A$10,0)),INDEX(Programmes!$L$2:$L$10,MATCH(A167,Programmes!$A$2:$A$10,0))),1),""))</f>
        <v/>
      </c>
      <c r="J167" s="33">
        <f>IF(I167="","",IF(LOWER(E167)="auto",ROUND(I167*Rules!$C$8,1),IF(RIGHT(E167,1)="%",ROUND(I167*VALUE(LEFT(E167,LEN(E167)-1))/100,1),IF(RIGHT(LOWER(E167),2)="km",VALUE(LEFT(E167,LEN(E167)-2)),IF(LOWER(E167)="race","race",E167)))))</f>
        <v/>
      </c>
    </row>
    <row r="168" ht="15" customHeight="1" s="21">
      <c r="A168" s="32" t="n"/>
      <c r="B168" s="32" t="n"/>
      <c r="C168" s="32" t="n"/>
      <c r="D168" s="35" t="n"/>
      <c r="E168" s="32" t="n"/>
      <c r="F168" s="32" t="n"/>
      <c r="G168" s="32" t="n"/>
      <c r="H168" s="33">
        <f>IF(A168="","",COUNTIFS('Run sessions'!$A$2:$A$401,A168,'Run sessions'!$B$2:$B$401,B168))</f>
        <v/>
      </c>
      <c r="I168" s="33">
        <f>IF(OR(A168="",D168=""),"",IFERROR(ROUND(D168*IF(INDEX(Programmes!$L$2:$L$10,MATCH(A168,Programmes!$A$2:$A$10,0))="",INDEX(Programmes!$K$2:$K$10,MATCH(A168,Programmes!$A$2:$A$10,0)),INDEX(Programmes!$L$2:$L$10,MATCH(A168,Programmes!$A$2:$A$10,0))),1),""))</f>
        <v/>
      </c>
      <c r="J168" s="33">
        <f>IF(I168="","",IF(LOWER(E168)="auto",ROUND(I168*Rules!$C$8,1),IF(RIGHT(E168,1)="%",ROUND(I168*VALUE(LEFT(E168,LEN(E168)-1))/100,1),IF(RIGHT(LOWER(E168),2)="km",VALUE(LEFT(E168,LEN(E168)-2)),IF(LOWER(E168)="race","race",E168)))))</f>
        <v/>
      </c>
    </row>
    <row r="169" ht="15" customHeight="1" s="21">
      <c r="A169" s="32" t="n"/>
      <c r="B169" s="32" t="n"/>
      <c r="C169" s="32" t="n"/>
      <c r="D169" s="35" t="n"/>
      <c r="E169" s="32" t="n"/>
      <c r="F169" s="32" t="n"/>
      <c r="G169" s="32" t="n"/>
      <c r="H169" s="33">
        <f>IF(A169="","",COUNTIFS('Run sessions'!$A$2:$A$401,A169,'Run sessions'!$B$2:$B$401,B169))</f>
        <v/>
      </c>
      <c r="I169" s="33">
        <f>IF(OR(A169="",D169=""),"",IFERROR(ROUND(D169*IF(INDEX(Programmes!$L$2:$L$10,MATCH(A169,Programmes!$A$2:$A$10,0))="",INDEX(Programmes!$K$2:$K$10,MATCH(A169,Programmes!$A$2:$A$10,0)),INDEX(Programmes!$L$2:$L$10,MATCH(A169,Programmes!$A$2:$A$10,0))),1),""))</f>
        <v/>
      </c>
      <c r="J169" s="33">
        <f>IF(I169="","",IF(LOWER(E169)="auto",ROUND(I169*Rules!$C$8,1),IF(RIGHT(E169,1)="%",ROUND(I169*VALUE(LEFT(E169,LEN(E169)-1))/100,1),IF(RIGHT(LOWER(E169),2)="km",VALUE(LEFT(E169,LEN(E169)-2)),IF(LOWER(E169)="race","race",E169)))))</f>
        <v/>
      </c>
    </row>
    <row r="170" ht="15" customHeight="1" s="21">
      <c r="A170" s="32" t="n"/>
      <c r="B170" s="32" t="n"/>
      <c r="C170" s="32" t="n"/>
      <c r="D170" s="35" t="n"/>
      <c r="E170" s="32" t="n"/>
      <c r="F170" s="32" t="n"/>
      <c r="G170" s="32" t="n"/>
      <c r="H170" s="33">
        <f>IF(A170="","",COUNTIFS('Run sessions'!$A$2:$A$401,A170,'Run sessions'!$B$2:$B$401,B170))</f>
        <v/>
      </c>
      <c r="I170" s="33">
        <f>IF(OR(A170="",D170=""),"",IFERROR(ROUND(D170*IF(INDEX(Programmes!$L$2:$L$10,MATCH(A170,Programmes!$A$2:$A$10,0))="",INDEX(Programmes!$K$2:$K$10,MATCH(A170,Programmes!$A$2:$A$10,0)),INDEX(Programmes!$L$2:$L$10,MATCH(A170,Programmes!$A$2:$A$10,0))),1),""))</f>
        <v/>
      </c>
      <c r="J170" s="33">
        <f>IF(I170="","",IF(LOWER(E170)="auto",ROUND(I170*Rules!$C$8,1),IF(RIGHT(E170,1)="%",ROUND(I170*VALUE(LEFT(E170,LEN(E170)-1))/100,1),IF(RIGHT(LOWER(E170),2)="km",VALUE(LEFT(E170,LEN(E170)-2)),IF(LOWER(E170)="race","race",E170)))))</f>
        <v/>
      </c>
    </row>
    <row r="171" ht="15" customHeight="1" s="21">
      <c r="A171" s="32" t="n"/>
      <c r="B171" s="32" t="n"/>
      <c r="C171" s="32" t="n"/>
      <c r="D171" s="35" t="n"/>
      <c r="E171" s="32" t="n"/>
      <c r="F171" s="32" t="n"/>
      <c r="G171" s="32" t="n"/>
      <c r="H171" s="33">
        <f>IF(A171="","",COUNTIFS('Run sessions'!$A$2:$A$401,A171,'Run sessions'!$B$2:$B$401,B171))</f>
        <v/>
      </c>
      <c r="I171" s="33">
        <f>IF(OR(A171="",D171=""),"",IFERROR(ROUND(D171*IF(INDEX(Programmes!$L$2:$L$10,MATCH(A171,Programmes!$A$2:$A$10,0))="",INDEX(Programmes!$K$2:$K$10,MATCH(A171,Programmes!$A$2:$A$10,0)),INDEX(Programmes!$L$2:$L$10,MATCH(A171,Programmes!$A$2:$A$10,0))),1),""))</f>
        <v/>
      </c>
      <c r="J171" s="33">
        <f>IF(I171="","",IF(LOWER(E171)="auto",ROUND(I171*Rules!$C$8,1),IF(RIGHT(E171,1)="%",ROUND(I171*VALUE(LEFT(E171,LEN(E171)-1))/100,1),IF(RIGHT(LOWER(E171),2)="km",VALUE(LEFT(E171,LEN(E171)-2)),IF(LOWER(E171)="race","race",E171)))))</f>
        <v/>
      </c>
    </row>
    <row r="172" ht="15" customHeight="1" s="21">
      <c r="A172" s="32" t="n"/>
      <c r="B172" s="32" t="n"/>
      <c r="C172" s="32" t="n"/>
      <c r="D172" s="35" t="n"/>
      <c r="E172" s="32" t="n"/>
      <c r="F172" s="32" t="n"/>
      <c r="G172" s="32" t="n"/>
      <c r="H172" s="33">
        <f>IF(A172="","",COUNTIFS('Run sessions'!$A$2:$A$401,A172,'Run sessions'!$B$2:$B$401,B172))</f>
        <v/>
      </c>
      <c r="I172" s="33">
        <f>IF(OR(A172="",D172=""),"",IFERROR(ROUND(D172*IF(INDEX(Programmes!$L$2:$L$10,MATCH(A172,Programmes!$A$2:$A$10,0))="",INDEX(Programmes!$K$2:$K$10,MATCH(A172,Programmes!$A$2:$A$10,0)),INDEX(Programmes!$L$2:$L$10,MATCH(A172,Programmes!$A$2:$A$10,0))),1),""))</f>
        <v/>
      </c>
      <c r="J172" s="33">
        <f>IF(I172="","",IF(LOWER(E172)="auto",ROUND(I172*Rules!$C$8,1),IF(RIGHT(E172,1)="%",ROUND(I172*VALUE(LEFT(E172,LEN(E172)-1))/100,1),IF(RIGHT(LOWER(E172),2)="km",VALUE(LEFT(E172,LEN(E172)-2)),IF(LOWER(E172)="race","race",E172)))))</f>
        <v/>
      </c>
    </row>
    <row r="173" ht="15" customHeight="1" s="21">
      <c r="A173" s="32" t="n"/>
      <c r="B173" s="32" t="n"/>
      <c r="C173" s="32" t="n"/>
      <c r="D173" s="35" t="n"/>
      <c r="E173" s="32" t="n"/>
      <c r="F173" s="32" t="n"/>
      <c r="G173" s="32" t="n"/>
      <c r="H173" s="33">
        <f>IF(A173="","",COUNTIFS('Run sessions'!$A$2:$A$401,A173,'Run sessions'!$B$2:$B$401,B173))</f>
        <v/>
      </c>
      <c r="I173" s="33">
        <f>IF(OR(A173="",D173=""),"",IFERROR(ROUND(D173*IF(INDEX(Programmes!$L$2:$L$10,MATCH(A173,Programmes!$A$2:$A$10,0))="",INDEX(Programmes!$K$2:$K$10,MATCH(A173,Programmes!$A$2:$A$10,0)),INDEX(Programmes!$L$2:$L$10,MATCH(A173,Programmes!$A$2:$A$10,0))),1),""))</f>
        <v/>
      </c>
      <c r="J173" s="33">
        <f>IF(I173="","",IF(LOWER(E173)="auto",ROUND(I173*Rules!$C$8,1),IF(RIGHT(E173,1)="%",ROUND(I173*VALUE(LEFT(E173,LEN(E173)-1))/100,1),IF(RIGHT(LOWER(E173),2)="km",VALUE(LEFT(E173,LEN(E173)-2)),IF(LOWER(E173)="race","race",E173)))))</f>
        <v/>
      </c>
    </row>
    <row r="174" ht="15" customHeight="1" s="21">
      <c r="A174" s="32" t="n"/>
      <c r="B174" s="32" t="n"/>
      <c r="C174" s="32" t="n"/>
      <c r="D174" s="35" t="n"/>
      <c r="E174" s="32" t="n"/>
      <c r="F174" s="32" t="n"/>
      <c r="G174" s="32" t="n"/>
      <c r="H174" s="33">
        <f>IF(A174="","",COUNTIFS('Run sessions'!$A$2:$A$401,A174,'Run sessions'!$B$2:$B$401,B174))</f>
        <v/>
      </c>
      <c r="I174" s="33">
        <f>IF(OR(A174="",D174=""),"",IFERROR(ROUND(D174*IF(INDEX(Programmes!$L$2:$L$10,MATCH(A174,Programmes!$A$2:$A$10,0))="",INDEX(Programmes!$K$2:$K$10,MATCH(A174,Programmes!$A$2:$A$10,0)),INDEX(Programmes!$L$2:$L$10,MATCH(A174,Programmes!$A$2:$A$10,0))),1),""))</f>
        <v/>
      </c>
      <c r="J174" s="33">
        <f>IF(I174="","",IF(LOWER(E174)="auto",ROUND(I174*Rules!$C$8,1),IF(RIGHT(E174,1)="%",ROUND(I174*VALUE(LEFT(E174,LEN(E174)-1))/100,1),IF(RIGHT(LOWER(E174),2)="km",VALUE(LEFT(E174,LEN(E174)-2)),IF(LOWER(E174)="race","race",E174)))))</f>
        <v/>
      </c>
    </row>
    <row r="175" ht="15" customHeight="1" s="21">
      <c r="A175" s="32" t="n"/>
      <c r="B175" s="32" t="n"/>
      <c r="C175" s="32" t="n"/>
      <c r="D175" s="35" t="n"/>
      <c r="E175" s="32" t="n"/>
      <c r="F175" s="32" t="n"/>
      <c r="G175" s="32" t="n"/>
      <c r="H175" s="33">
        <f>IF(A175="","",COUNTIFS('Run sessions'!$A$2:$A$401,A175,'Run sessions'!$B$2:$B$401,B175))</f>
        <v/>
      </c>
      <c r="I175" s="33">
        <f>IF(OR(A175="",D175=""),"",IFERROR(ROUND(D175*IF(INDEX(Programmes!$L$2:$L$10,MATCH(A175,Programmes!$A$2:$A$10,0))="",INDEX(Programmes!$K$2:$K$10,MATCH(A175,Programmes!$A$2:$A$10,0)),INDEX(Programmes!$L$2:$L$10,MATCH(A175,Programmes!$A$2:$A$10,0))),1),""))</f>
        <v/>
      </c>
      <c r="J175" s="33">
        <f>IF(I175="","",IF(LOWER(E175)="auto",ROUND(I175*Rules!$C$8,1),IF(RIGHT(E175,1)="%",ROUND(I175*VALUE(LEFT(E175,LEN(E175)-1))/100,1),IF(RIGHT(LOWER(E175),2)="km",VALUE(LEFT(E175,LEN(E175)-2)),IF(LOWER(E175)="race","race",E175)))))</f>
        <v/>
      </c>
    </row>
    <row r="176" ht="15" customHeight="1" s="21">
      <c r="A176" s="32" t="n"/>
      <c r="B176" s="32" t="n"/>
      <c r="C176" s="32" t="n"/>
      <c r="D176" s="35" t="n"/>
      <c r="E176" s="32" t="n"/>
      <c r="F176" s="32" t="n"/>
      <c r="G176" s="32" t="n"/>
      <c r="H176" s="33">
        <f>IF(A176="","",COUNTIFS('Run sessions'!$A$2:$A$401,A176,'Run sessions'!$B$2:$B$401,B176))</f>
        <v/>
      </c>
      <c r="I176" s="33">
        <f>IF(OR(A176="",D176=""),"",IFERROR(ROUND(D176*IF(INDEX(Programmes!$L$2:$L$10,MATCH(A176,Programmes!$A$2:$A$10,0))="",INDEX(Programmes!$K$2:$K$10,MATCH(A176,Programmes!$A$2:$A$10,0)),INDEX(Programmes!$L$2:$L$10,MATCH(A176,Programmes!$A$2:$A$10,0))),1),""))</f>
        <v/>
      </c>
      <c r="J176" s="33">
        <f>IF(I176="","",IF(LOWER(E176)="auto",ROUND(I176*Rules!$C$8,1),IF(RIGHT(E176,1)="%",ROUND(I176*VALUE(LEFT(E176,LEN(E176)-1))/100,1),IF(RIGHT(LOWER(E176),2)="km",VALUE(LEFT(E176,LEN(E176)-2)),IF(LOWER(E176)="race","race",E176)))))</f>
        <v/>
      </c>
    </row>
    <row r="177" ht="15" customHeight="1" s="21">
      <c r="A177" s="32" t="n"/>
      <c r="B177" s="32" t="n"/>
      <c r="C177" s="32" t="n"/>
      <c r="D177" s="35" t="n"/>
      <c r="E177" s="32" t="n"/>
      <c r="F177" s="32" t="n"/>
      <c r="G177" s="32" t="n"/>
      <c r="H177" s="33">
        <f>IF(A177="","",COUNTIFS('Run sessions'!$A$2:$A$401,A177,'Run sessions'!$B$2:$B$401,B177))</f>
        <v/>
      </c>
      <c r="I177" s="33">
        <f>IF(OR(A177="",D177=""),"",IFERROR(ROUND(D177*IF(INDEX(Programmes!$L$2:$L$10,MATCH(A177,Programmes!$A$2:$A$10,0))="",INDEX(Programmes!$K$2:$K$10,MATCH(A177,Programmes!$A$2:$A$10,0)),INDEX(Programmes!$L$2:$L$10,MATCH(A177,Programmes!$A$2:$A$10,0))),1),""))</f>
        <v/>
      </c>
      <c r="J177" s="33">
        <f>IF(I177="","",IF(LOWER(E177)="auto",ROUND(I177*Rules!$C$8,1),IF(RIGHT(E177,1)="%",ROUND(I177*VALUE(LEFT(E177,LEN(E177)-1))/100,1),IF(RIGHT(LOWER(E177),2)="km",VALUE(LEFT(E177,LEN(E177)-2)),IF(LOWER(E177)="race","race",E177)))))</f>
        <v/>
      </c>
    </row>
    <row r="178" ht="15" customHeight="1" s="21">
      <c r="A178" s="32" t="n"/>
      <c r="B178" s="32" t="n"/>
      <c r="C178" s="32" t="n"/>
      <c r="D178" s="35" t="n"/>
      <c r="E178" s="32" t="n"/>
      <c r="F178" s="32" t="n"/>
      <c r="G178" s="32" t="n"/>
      <c r="H178" s="33">
        <f>IF(A178="","",COUNTIFS('Run sessions'!$A$2:$A$401,A178,'Run sessions'!$B$2:$B$401,B178))</f>
        <v/>
      </c>
      <c r="I178" s="33">
        <f>IF(OR(A178="",D178=""),"",IFERROR(ROUND(D178*IF(INDEX(Programmes!$L$2:$L$10,MATCH(A178,Programmes!$A$2:$A$10,0))="",INDEX(Programmes!$K$2:$K$10,MATCH(A178,Programmes!$A$2:$A$10,0)),INDEX(Programmes!$L$2:$L$10,MATCH(A178,Programmes!$A$2:$A$10,0))),1),""))</f>
        <v/>
      </c>
      <c r="J178" s="33">
        <f>IF(I178="","",IF(LOWER(E178)="auto",ROUND(I178*Rules!$C$8,1),IF(RIGHT(E178,1)="%",ROUND(I178*VALUE(LEFT(E178,LEN(E178)-1))/100,1),IF(RIGHT(LOWER(E178),2)="km",VALUE(LEFT(E178,LEN(E178)-2)),IF(LOWER(E178)="race","race",E178)))))</f>
        <v/>
      </c>
    </row>
    <row r="179" ht="15" customHeight="1" s="21">
      <c r="A179" s="32" t="n"/>
      <c r="B179" s="32" t="n"/>
      <c r="C179" s="32" t="n"/>
      <c r="D179" s="35" t="n"/>
      <c r="E179" s="32" t="n"/>
      <c r="F179" s="32" t="n"/>
      <c r="G179" s="32" t="n"/>
      <c r="H179" s="33">
        <f>IF(A179="","",COUNTIFS('Run sessions'!$A$2:$A$401,A179,'Run sessions'!$B$2:$B$401,B179))</f>
        <v/>
      </c>
      <c r="I179" s="33">
        <f>IF(OR(A179="",D179=""),"",IFERROR(ROUND(D179*IF(INDEX(Programmes!$L$2:$L$10,MATCH(A179,Programmes!$A$2:$A$10,0))="",INDEX(Programmes!$K$2:$K$10,MATCH(A179,Programmes!$A$2:$A$10,0)),INDEX(Programmes!$L$2:$L$10,MATCH(A179,Programmes!$A$2:$A$10,0))),1),""))</f>
        <v/>
      </c>
      <c r="J179" s="33">
        <f>IF(I179="","",IF(LOWER(E179)="auto",ROUND(I179*Rules!$C$8,1),IF(RIGHT(E179,1)="%",ROUND(I179*VALUE(LEFT(E179,LEN(E179)-1))/100,1),IF(RIGHT(LOWER(E179),2)="km",VALUE(LEFT(E179,LEN(E179)-2)),IF(LOWER(E179)="race","race",E179)))))</f>
        <v/>
      </c>
    </row>
    <row r="180" ht="15" customHeight="1" s="21">
      <c r="A180" s="32" t="n"/>
      <c r="B180" s="32" t="n"/>
      <c r="C180" s="32" t="n"/>
      <c r="D180" s="35" t="n"/>
      <c r="E180" s="32" t="n"/>
      <c r="F180" s="32" t="n"/>
      <c r="G180" s="32" t="n"/>
      <c r="H180" s="33">
        <f>IF(A180="","",COUNTIFS('Run sessions'!$A$2:$A$401,A180,'Run sessions'!$B$2:$B$401,B180))</f>
        <v/>
      </c>
      <c r="I180" s="33">
        <f>IF(OR(A180="",D180=""),"",IFERROR(ROUND(D180*IF(INDEX(Programmes!$L$2:$L$10,MATCH(A180,Programmes!$A$2:$A$10,0))="",INDEX(Programmes!$K$2:$K$10,MATCH(A180,Programmes!$A$2:$A$10,0)),INDEX(Programmes!$L$2:$L$10,MATCH(A180,Programmes!$A$2:$A$10,0))),1),""))</f>
        <v/>
      </c>
      <c r="J180" s="33">
        <f>IF(I180="","",IF(LOWER(E180)="auto",ROUND(I180*Rules!$C$8,1),IF(RIGHT(E180,1)="%",ROUND(I180*VALUE(LEFT(E180,LEN(E180)-1))/100,1),IF(RIGHT(LOWER(E180),2)="km",VALUE(LEFT(E180,LEN(E180)-2)),IF(LOWER(E180)="race","race",E180)))))</f>
        <v/>
      </c>
    </row>
    <row r="181" ht="15" customHeight="1" s="21">
      <c r="A181" s="32" t="n"/>
      <c r="B181" s="32" t="n"/>
      <c r="C181" s="32" t="n"/>
      <c r="D181" s="35" t="n"/>
      <c r="E181" s="32" t="n"/>
      <c r="F181" s="32" t="n"/>
      <c r="G181" s="32" t="n"/>
      <c r="H181" s="33">
        <f>IF(A181="","",COUNTIFS('Run sessions'!$A$2:$A$401,A181,'Run sessions'!$B$2:$B$401,B181))</f>
        <v/>
      </c>
      <c r="I181" s="33">
        <f>IF(OR(A181="",D181=""),"",IFERROR(ROUND(D181*IF(INDEX(Programmes!$L$2:$L$10,MATCH(A181,Programmes!$A$2:$A$10,0))="",INDEX(Programmes!$K$2:$K$10,MATCH(A181,Programmes!$A$2:$A$10,0)),INDEX(Programmes!$L$2:$L$10,MATCH(A181,Programmes!$A$2:$A$10,0))),1),""))</f>
        <v/>
      </c>
      <c r="J181" s="33">
        <f>IF(I181="","",IF(LOWER(E181)="auto",ROUND(I181*Rules!$C$8,1),IF(RIGHT(E181,1)="%",ROUND(I181*VALUE(LEFT(E181,LEN(E181)-1))/100,1),IF(RIGHT(LOWER(E181),2)="km",VALUE(LEFT(E181,LEN(E181)-2)),IF(LOWER(E181)="race","race",E181)))))</f>
        <v/>
      </c>
    </row>
    <row r="182" ht="15" customHeight="1" s="21">
      <c r="A182" s="32" t="n"/>
      <c r="B182" s="32" t="n"/>
      <c r="C182" s="32" t="n"/>
      <c r="D182" s="35" t="n"/>
      <c r="E182" s="32" t="n"/>
      <c r="F182" s="32" t="n"/>
      <c r="G182" s="32" t="n"/>
      <c r="H182" s="33">
        <f>IF(A182="","",COUNTIFS('Run sessions'!$A$2:$A$401,A182,'Run sessions'!$B$2:$B$401,B182))</f>
        <v/>
      </c>
      <c r="I182" s="33">
        <f>IF(OR(A182="",D182=""),"",IFERROR(ROUND(D182*IF(INDEX(Programmes!$L$2:$L$10,MATCH(A182,Programmes!$A$2:$A$10,0))="",INDEX(Programmes!$K$2:$K$10,MATCH(A182,Programmes!$A$2:$A$10,0)),INDEX(Programmes!$L$2:$L$10,MATCH(A182,Programmes!$A$2:$A$10,0))),1),""))</f>
        <v/>
      </c>
      <c r="J182" s="33">
        <f>IF(I182="","",IF(LOWER(E182)="auto",ROUND(I182*Rules!$C$8,1),IF(RIGHT(E182,1)="%",ROUND(I182*VALUE(LEFT(E182,LEN(E182)-1))/100,1),IF(RIGHT(LOWER(E182),2)="km",VALUE(LEFT(E182,LEN(E182)-2)),IF(LOWER(E182)="race","race",E182)))))</f>
        <v/>
      </c>
    </row>
    <row r="183" ht="15" customHeight="1" s="21">
      <c r="A183" s="32" t="n"/>
      <c r="B183" s="32" t="n"/>
      <c r="C183" s="32" t="n"/>
      <c r="D183" s="35" t="n"/>
      <c r="E183" s="32" t="n"/>
      <c r="F183" s="32" t="n"/>
      <c r="G183" s="32" t="n"/>
      <c r="H183" s="33">
        <f>IF(A183="","",COUNTIFS('Run sessions'!$A$2:$A$401,A183,'Run sessions'!$B$2:$B$401,B183))</f>
        <v/>
      </c>
      <c r="I183" s="33">
        <f>IF(OR(A183="",D183=""),"",IFERROR(ROUND(D183*IF(INDEX(Programmes!$L$2:$L$10,MATCH(A183,Programmes!$A$2:$A$10,0))="",INDEX(Programmes!$K$2:$K$10,MATCH(A183,Programmes!$A$2:$A$10,0)),INDEX(Programmes!$L$2:$L$10,MATCH(A183,Programmes!$A$2:$A$10,0))),1),""))</f>
        <v/>
      </c>
      <c r="J183" s="33">
        <f>IF(I183="","",IF(LOWER(E183)="auto",ROUND(I183*Rules!$C$8,1),IF(RIGHT(E183,1)="%",ROUND(I183*VALUE(LEFT(E183,LEN(E183)-1))/100,1),IF(RIGHT(LOWER(E183),2)="km",VALUE(LEFT(E183,LEN(E183)-2)),IF(LOWER(E183)="race","race",E183)))))</f>
        <v/>
      </c>
    </row>
    <row r="184" ht="15" customHeight="1" s="21">
      <c r="A184" s="32" t="n"/>
      <c r="B184" s="32" t="n"/>
      <c r="C184" s="32" t="n"/>
      <c r="D184" s="35" t="n"/>
      <c r="E184" s="32" t="n"/>
      <c r="F184" s="32" t="n"/>
      <c r="G184" s="32" t="n"/>
      <c r="H184" s="33">
        <f>IF(A184="","",COUNTIFS('Run sessions'!$A$2:$A$401,A184,'Run sessions'!$B$2:$B$401,B184))</f>
        <v/>
      </c>
      <c r="I184" s="33">
        <f>IF(OR(A184="",D184=""),"",IFERROR(ROUND(D184*IF(INDEX(Programmes!$L$2:$L$10,MATCH(A184,Programmes!$A$2:$A$10,0))="",INDEX(Programmes!$K$2:$K$10,MATCH(A184,Programmes!$A$2:$A$10,0)),INDEX(Programmes!$L$2:$L$10,MATCH(A184,Programmes!$A$2:$A$10,0))),1),""))</f>
        <v/>
      </c>
      <c r="J184" s="33">
        <f>IF(I184="","",IF(LOWER(E184)="auto",ROUND(I184*Rules!$C$8,1),IF(RIGHT(E184,1)="%",ROUND(I184*VALUE(LEFT(E184,LEN(E184)-1))/100,1),IF(RIGHT(LOWER(E184),2)="km",VALUE(LEFT(E184,LEN(E184)-2)),IF(LOWER(E184)="race","race",E184)))))</f>
        <v/>
      </c>
    </row>
    <row r="185" ht="15" customHeight="1" s="21">
      <c r="A185" s="32" t="n"/>
      <c r="B185" s="32" t="n"/>
      <c r="C185" s="32" t="n"/>
      <c r="D185" s="35" t="n"/>
      <c r="E185" s="32" t="n"/>
      <c r="F185" s="32" t="n"/>
      <c r="G185" s="32" t="n"/>
      <c r="H185" s="33">
        <f>IF(A185="","",COUNTIFS('Run sessions'!$A$2:$A$401,A185,'Run sessions'!$B$2:$B$401,B185))</f>
        <v/>
      </c>
      <c r="I185" s="33">
        <f>IF(OR(A185="",D185=""),"",IFERROR(ROUND(D185*IF(INDEX(Programmes!$L$2:$L$10,MATCH(A185,Programmes!$A$2:$A$10,0))="",INDEX(Programmes!$K$2:$K$10,MATCH(A185,Programmes!$A$2:$A$10,0)),INDEX(Programmes!$L$2:$L$10,MATCH(A185,Programmes!$A$2:$A$10,0))),1),""))</f>
        <v/>
      </c>
      <c r="J185" s="33">
        <f>IF(I185="","",IF(LOWER(E185)="auto",ROUND(I185*Rules!$C$8,1),IF(RIGHT(E185,1)="%",ROUND(I185*VALUE(LEFT(E185,LEN(E185)-1))/100,1),IF(RIGHT(LOWER(E185),2)="km",VALUE(LEFT(E185,LEN(E185)-2)),IF(LOWER(E185)="race","race",E185)))))</f>
        <v/>
      </c>
    </row>
    <row r="186" ht="15" customHeight="1" s="21">
      <c r="A186" s="32" t="n"/>
      <c r="B186" s="32" t="n"/>
      <c r="C186" s="32" t="n"/>
      <c r="D186" s="35" t="n"/>
      <c r="E186" s="32" t="n"/>
      <c r="F186" s="32" t="n"/>
      <c r="G186" s="32" t="n"/>
      <c r="H186" s="33">
        <f>IF(A186="","",COUNTIFS('Run sessions'!$A$2:$A$401,A186,'Run sessions'!$B$2:$B$401,B186))</f>
        <v/>
      </c>
      <c r="I186" s="33">
        <f>IF(OR(A186="",D186=""),"",IFERROR(ROUND(D186*IF(INDEX(Programmes!$L$2:$L$10,MATCH(A186,Programmes!$A$2:$A$10,0))="",INDEX(Programmes!$K$2:$K$10,MATCH(A186,Programmes!$A$2:$A$10,0)),INDEX(Programmes!$L$2:$L$10,MATCH(A186,Programmes!$A$2:$A$10,0))),1),""))</f>
        <v/>
      </c>
      <c r="J186" s="33">
        <f>IF(I186="","",IF(LOWER(E186)="auto",ROUND(I186*Rules!$C$8,1),IF(RIGHT(E186,1)="%",ROUND(I186*VALUE(LEFT(E186,LEN(E186)-1))/100,1),IF(RIGHT(LOWER(E186),2)="km",VALUE(LEFT(E186,LEN(E186)-2)),IF(LOWER(E186)="race","race",E186)))))</f>
        <v/>
      </c>
    </row>
    <row r="187" ht="15" customHeight="1" s="21">
      <c r="A187" s="32" t="n"/>
      <c r="B187" s="32" t="n"/>
      <c r="C187" s="32" t="n"/>
      <c r="D187" s="35" t="n"/>
      <c r="E187" s="32" t="n"/>
      <c r="F187" s="32" t="n"/>
      <c r="G187" s="32" t="n"/>
      <c r="H187" s="33">
        <f>IF(A187="","",COUNTIFS('Run sessions'!$A$2:$A$401,A187,'Run sessions'!$B$2:$B$401,B187))</f>
        <v/>
      </c>
      <c r="I187" s="33">
        <f>IF(OR(A187="",D187=""),"",IFERROR(ROUND(D187*IF(INDEX(Programmes!$L$2:$L$10,MATCH(A187,Programmes!$A$2:$A$10,0))="",INDEX(Programmes!$K$2:$K$10,MATCH(A187,Programmes!$A$2:$A$10,0)),INDEX(Programmes!$L$2:$L$10,MATCH(A187,Programmes!$A$2:$A$10,0))),1),""))</f>
        <v/>
      </c>
      <c r="J187" s="33">
        <f>IF(I187="","",IF(LOWER(E187)="auto",ROUND(I187*Rules!$C$8,1),IF(RIGHT(E187,1)="%",ROUND(I187*VALUE(LEFT(E187,LEN(E187)-1))/100,1),IF(RIGHT(LOWER(E187),2)="km",VALUE(LEFT(E187,LEN(E187)-2)),IF(LOWER(E187)="race","race",E187)))))</f>
        <v/>
      </c>
    </row>
    <row r="188" ht="15" customHeight="1" s="21">
      <c r="A188" s="32" t="n"/>
      <c r="B188" s="32" t="n"/>
      <c r="C188" s="32" t="n"/>
      <c r="D188" s="35" t="n"/>
      <c r="E188" s="32" t="n"/>
      <c r="F188" s="32" t="n"/>
      <c r="G188" s="32" t="n"/>
      <c r="H188" s="33">
        <f>IF(A188="","",COUNTIFS('Run sessions'!$A$2:$A$401,A188,'Run sessions'!$B$2:$B$401,B188))</f>
        <v/>
      </c>
      <c r="I188" s="33">
        <f>IF(OR(A188="",D188=""),"",IFERROR(ROUND(D188*IF(INDEX(Programmes!$L$2:$L$10,MATCH(A188,Programmes!$A$2:$A$10,0))="",INDEX(Programmes!$K$2:$K$10,MATCH(A188,Programmes!$A$2:$A$10,0)),INDEX(Programmes!$L$2:$L$10,MATCH(A188,Programmes!$A$2:$A$10,0))),1),""))</f>
        <v/>
      </c>
      <c r="J188" s="33">
        <f>IF(I188="","",IF(LOWER(E188)="auto",ROUND(I188*Rules!$C$8,1),IF(RIGHT(E188,1)="%",ROUND(I188*VALUE(LEFT(E188,LEN(E188)-1))/100,1),IF(RIGHT(LOWER(E188),2)="km",VALUE(LEFT(E188,LEN(E188)-2)),IF(LOWER(E188)="race","race",E188)))))</f>
        <v/>
      </c>
    </row>
    <row r="189" ht="15" customHeight="1" s="21">
      <c r="A189" s="32" t="n"/>
      <c r="B189" s="32" t="n"/>
      <c r="C189" s="32" t="n"/>
      <c r="D189" s="35" t="n"/>
      <c r="E189" s="32" t="n"/>
      <c r="F189" s="32" t="n"/>
      <c r="G189" s="32" t="n"/>
      <c r="H189" s="33">
        <f>IF(A189="","",COUNTIFS('Run sessions'!$A$2:$A$401,A189,'Run sessions'!$B$2:$B$401,B189))</f>
        <v/>
      </c>
      <c r="I189" s="33">
        <f>IF(OR(A189="",D189=""),"",IFERROR(ROUND(D189*IF(INDEX(Programmes!$L$2:$L$10,MATCH(A189,Programmes!$A$2:$A$10,0))="",INDEX(Programmes!$K$2:$K$10,MATCH(A189,Programmes!$A$2:$A$10,0)),INDEX(Programmes!$L$2:$L$10,MATCH(A189,Programmes!$A$2:$A$10,0))),1),""))</f>
        <v/>
      </c>
      <c r="J189" s="33">
        <f>IF(I189="","",IF(LOWER(E189)="auto",ROUND(I189*Rules!$C$8,1),IF(RIGHT(E189,1)="%",ROUND(I189*VALUE(LEFT(E189,LEN(E189)-1))/100,1),IF(RIGHT(LOWER(E189),2)="km",VALUE(LEFT(E189,LEN(E189)-2)),IF(LOWER(E189)="race","race",E189)))))</f>
        <v/>
      </c>
    </row>
    <row r="190" ht="15" customHeight="1" s="21">
      <c r="A190" s="32" t="n"/>
      <c r="B190" s="32" t="n"/>
      <c r="C190" s="32" t="n"/>
      <c r="D190" s="35" t="n"/>
      <c r="E190" s="32" t="n"/>
      <c r="F190" s="32" t="n"/>
      <c r="G190" s="32" t="n"/>
      <c r="H190" s="33">
        <f>IF(A190="","",COUNTIFS('Run sessions'!$A$2:$A$401,A190,'Run sessions'!$B$2:$B$401,B190))</f>
        <v/>
      </c>
      <c r="I190" s="33">
        <f>IF(OR(A190="",D190=""),"",IFERROR(ROUND(D190*IF(INDEX(Programmes!$L$2:$L$10,MATCH(A190,Programmes!$A$2:$A$10,0))="",INDEX(Programmes!$K$2:$K$10,MATCH(A190,Programmes!$A$2:$A$10,0)),INDEX(Programmes!$L$2:$L$10,MATCH(A190,Programmes!$A$2:$A$10,0))),1),""))</f>
        <v/>
      </c>
      <c r="J190" s="33">
        <f>IF(I190="","",IF(LOWER(E190)="auto",ROUND(I190*Rules!$C$8,1),IF(RIGHT(E190,1)="%",ROUND(I190*VALUE(LEFT(E190,LEN(E190)-1))/100,1),IF(RIGHT(LOWER(E190),2)="km",VALUE(LEFT(E190,LEN(E190)-2)),IF(LOWER(E190)="race","race",E190)))))</f>
        <v/>
      </c>
    </row>
    <row r="191" ht="15" customHeight="1" s="21">
      <c r="A191" s="32" t="n"/>
      <c r="B191" s="32" t="n"/>
      <c r="C191" s="32" t="n"/>
      <c r="D191" s="35" t="n"/>
      <c r="E191" s="32" t="n"/>
      <c r="F191" s="32" t="n"/>
      <c r="G191" s="32" t="n"/>
      <c r="H191" s="33">
        <f>IF(A191="","",COUNTIFS('Run sessions'!$A$2:$A$401,A191,'Run sessions'!$B$2:$B$401,B191))</f>
        <v/>
      </c>
      <c r="I191" s="33">
        <f>IF(OR(A191="",D191=""),"",IFERROR(ROUND(D191*IF(INDEX(Programmes!$L$2:$L$10,MATCH(A191,Programmes!$A$2:$A$10,0))="",INDEX(Programmes!$K$2:$K$10,MATCH(A191,Programmes!$A$2:$A$10,0)),INDEX(Programmes!$L$2:$L$10,MATCH(A191,Programmes!$A$2:$A$10,0))),1),""))</f>
        <v/>
      </c>
      <c r="J191" s="33">
        <f>IF(I191="","",IF(LOWER(E191)="auto",ROUND(I191*Rules!$C$8,1),IF(RIGHT(E191,1)="%",ROUND(I191*VALUE(LEFT(E191,LEN(E191)-1))/100,1),IF(RIGHT(LOWER(E191),2)="km",VALUE(LEFT(E191,LEN(E191)-2)),IF(LOWER(E191)="race","race",E191)))))</f>
        <v/>
      </c>
    </row>
    <row r="192" ht="15" customHeight="1" s="21">
      <c r="A192" s="32" t="n"/>
      <c r="B192" s="32" t="n"/>
      <c r="C192" s="32" t="n"/>
      <c r="D192" s="35" t="n"/>
      <c r="E192" s="32" t="n"/>
      <c r="F192" s="32" t="n"/>
      <c r="G192" s="32" t="n"/>
      <c r="H192" s="33">
        <f>IF(A192="","",COUNTIFS('Run sessions'!$A$2:$A$401,A192,'Run sessions'!$B$2:$B$401,B192))</f>
        <v/>
      </c>
      <c r="I192" s="33">
        <f>IF(OR(A192="",D192=""),"",IFERROR(ROUND(D192*IF(INDEX(Programmes!$L$2:$L$10,MATCH(A192,Programmes!$A$2:$A$10,0))="",INDEX(Programmes!$K$2:$K$10,MATCH(A192,Programmes!$A$2:$A$10,0)),INDEX(Programmes!$L$2:$L$10,MATCH(A192,Programmes!$A$2:$A$10,0))),1),""))</f>
        <v/>
      </c>
      <c r="J192" s="33">
        <f>IF(I192="","",IF(LOWER(E192)="auto",ROUND(I192*Rules!$C$8,1),IF(RIGHT(E192,1)="%",ROUND(I192*VALUE(LEFT(E192,LEN(E192)-1))/100,1),IF(RIGHT(LOWER(E192),2)="km",VALUE(LEFT(E192,LEN(E192)-2)),IF(LOWER(E192)="race","race",E192)))))</f>
        <v/>
      </c>
    </row>
    <row r="193" ht="15" customHeight="1" s="21">
      <c r="A193" s="32" t="n"/>
      <c r="B193" s="32" t="n"/>
      <c r="C193" s="32" t="n"/>
      <c r="D193" s="35" t="n"/>
      <c r="E193" s="32" t="n"/>
      <c r="F193" s="32" t="n"/>
      <c r="G193" s="32" t="n"/>
      <c r="H193" s="33">
        <f>IF(A193="","",COUNTIFS('Run sessions'!$A$2:$A$401,A193,'Run sessions'!$B$2:$B$401,B193))</f>
        <v/>
      </c>
      <c r="I193" s="33">
        <f>IF(OR(A193="",D193=""),"",IFERROR(ROUND(D193*IF(INDEX(Programmes!$L$2:$L$10,MATCH(A193,Programmes!$A$2:$A$10,0))="",INDEX(Programmes!$K$2:$K$10,MATCH(A193,Programmes!$A$2:$A$10,0)),INDEX(Programmes!$L$2:$L$10,MATCH(A193,Programmes!$A$2:$A$10,0))),1),""))</f>
        <v/>
      </c>
      <c r="J193" s="33">
        <f>IF(I193="","",IF(LOWER(E193)="auto",ROUND(I193*Rules!$C$8,1),IF(RIGHT(E193,1)="%",ROUND(I193*VALUE(LEFT(E193,LEN(E193)-1))/100,1),IF(RIGHT(LOWER(E193),2)="km",VALUE(LEFT(E193,LEN(E193)-2)),IF(LOWER(E193)="race","race",E193)))))</f>
        <v/>
      </c>
    </row>
    <row r="194" ht="15" customHeight="1" s="21">
      <c r="A194" s="32" t="n"/>
      <c r="B194" s="32" t="n"/>
      <c r="C194" s="32" t="n"/>
      <c r="D194" s="35" t="n"/>
      <c r="E194" s="32" t="n"/>
      <c r="F194" s="32" t="n"/>
      <c r="G194" s="32" t="n"/>
      <c r="H194" s="33">
        <f>IF(A194="","",COUNTIFS('Run sessions'!$A$2:$A$401,A194,'Run sessions'!$B$2:$B$401,B194))</f>
        <v/>
      </c>
      <c r="I194" s="33">
        <f>IF(OR(A194="",D194=""),"",IFERROR(ROUND(D194*IF(INDEX(Programmes!$L$2:$L$10,MATCH(A194,Programmes!$A$2:$A$10,0))="",INDEX(Programmes!$K$2:$K$10,MATCH(A194,Programmes!$A$2:$A$10,0)),INDEX(Programmes!$L$2:$L$10,MATCH(A194,Programmes!$A$2:$A$10,0))),1),""))</f>
        <v/>
      </c>
      <c r="J194" s="33">
        <f>IF(I194="","",IF(LOWER(E194)="auto",ROUND(I194*Rules!$C$8,1),IF(RIGHT(E194,1)="%",ROUND(I194*VALUE(LEFT(E194,LEN(E194)-1))/100,1),IF(RIGHT(LOWER(E194),2)="km",VALUE(LEFT(E194,LEN(E194)-2)),IF(LOWER(E194)="race","race",E194)))))</f>
        <v/>
      </c>
    </row>
    <row r="195" ht="15" customHeight="1" s="21">
      <c r="A195" s="32" t="n"/>
      <c r="B195" s="32" t="n"/>
      <c r="C195" s="32" t="n"/>
      <c r="D195" s="35" t="n"/>
      <c r="E195" s="32" t="n"/>
      <c r="F195" s="32" t="n"/>
      <c r="G195" s="32" t="n"/>
      <c r="H195" s="33">
        <f>IF(A195="","",COUNTIFS('Run sessions'!$A$2:$A$401,A195,'Run sessions'!$B$2:$B$401,B195))</f>
        <v/>
      </c>
      <c r="I195" s="33">
        <f>IF(OR(A195="",D195=""),"",IFERROR(ROUND(D195*IF(INDEX(Programmes!$L$2:$L$10,MATCH(A195,Programmes!$A$2:$A$10,0))="",INDEX(Programmes!$K$2:$K$10,MATCH(A195,Programmes!$A$2:$A$10,0)),INDEX(Programmes!$L$2:$L$10,MATCH(A195,Programmes!$A$2:$A$10,0))),1),""))</f>
        <v/>
      </c>
      <c r="J195" s="33">
        <f>IF(I195="","",IF(LOWER(E195)="auto",ROUND(I195*Rules!$C$8,1),IF(RIGHT(E195,1)="%",ROUND(I195*VALUE(LEFT(E195,LEN(E195)-1))/100,1),IF(RIGHT(LOWER(E195),2)="km",VALUE(LEFT(E195,LEN(E195)-2)),IF(LOWER(E195)="race","race",E195)))))</f>
        <v/>
      </c>
    </row>
    <row r="196" ht="15" customHeight="1" s="21">
      <c r="A196" s="32" t="n"/>
      <c r="B196" s="32" t="n"/>
      <c r="C196" s="32" t="n"/>
      <c r="D196" s="35" t="n"/>
      <c r="E196" s="32" t="n"/>
      <c r="F196" s="32" t="n"/>
      <c r="G196" s="32" t="n"/>
      <c r="H196" s="33">
        <f>IF(A196="","",COUNTIFS('Run sessions'!$A$2:$A$401,A196,'Run sessions'!$B$2:$B$401,B196))</f>
        <v/>
      </c>
      <c r="I196" s="33">
        <f>IF(OR(A196="",D196=""),"",IFERROR(ROUND(D196*IF(INDEX(Programmes!$L$2:$L$10,MATCH(A196,Programmes!$A$2:$A$10,0))="",INDEX(Programmes!$K$2:$K$10,MATCH(A196,Programmes!$A$2:$A$10,0)),INDEX(Programmes!$L$2:$L$10,MATCH(A196,Programmes!$A$2:$A$10,0))),1),""))</f>
        <v/>
      </c>
      <c r="J196" s="33">
        <f>IF(I196="","",IF(LOWER(E196)="auto",ROUND(I196*Rules!$C$8,1),IF(RIGHT(E196,1)="%",ROUND(I196*VALUE(LEFT(E196,LEN(E196)-1))/100,1),IF(RIGHT(LOWER(E196),2)="km",VALUE(LEFT(E196,LEN(E196)-2)),IF(LOWER(E196)="race","race",E196)))))</f>
        <v/>
      </c>
    </row>
    <row r="197" ht="15" customHeight="1" s="21">
      <c r="A197" s="32" t="n"/>
      <c r="B197" s="32" t="n"/>
      <c r="C197" s="32" t="n"/>
      <c r="D197" s="35" t="n"/>
      <c r="E197" s="32" t="n"/>
      <c r="F197" s="32" t="n"/>
      <c r="G197" s="32" t="n"/>
      <c r="H197" s="33">
        <f>IF(A197="","",COUNTIFS('Run sessions'!$A$2:$A$401,A197,'Run sessions'!$B$2:$B$401,B197))</f>
        <v/>
      </c>
      <c r="I197" s="33">
        <f>IF(OR(A197="",D197=""),"",IFERROR(ROUND(D197*IF(INDEX(Programmes!$L$2:$L$10,MATCH(A197,Programmes!$A$2:$A$10,0))="",INDEX(Programmes!$K$2:$K$10,MATCH(A197,Programmes!$A$2:$A$10,0)),INDEX(Programmes!$L$2:$L$10,MATCH(A197,Programmes!$A$2:$A$10,0))),1),""))</f>
        <v/>
      </c>
      <c r="J197" s="33">
        <f>IF(I197="","",IF(LOWER(E197)="auto",ROUND(I197*Rules!$C$8,1),IF(RIGHT(E197,1)="%",ROUND(I197*VALUE(LEFT(E197,LEN(E197)-1))/100,1),IF(RIGHT(LOWER(E197),2)="km",VALUE(LEFT(E197,LEN(E197)-2)),IF(LOWER(E197)="race","race",E197)))))</f>
        <v/>
      </c>
    </row>
    <row r="198" ht="15" customHeight="1" s="21">
      <c r="A198" s="32" t="n"/>
      <c r="B198" s="32" t="n"/>
      <c r="C198" s="32" t="n"/>
      <c r="D198" s="35" t="n"/>
      <c r="E198" s="32" t="n"/>
      <c r="F198" s="32" t="n"/>
      <c r="G198" s="32" t="n"/>
      <c r="H198" s="33">
        <f>IF(A198="","",COUNTIFS('Run sessions'!$A$2:$A$401,A198,'Run sessions'!$B$2:$B$401,B198))</f>
        <v/>
      </c>
      <c r="I198" s="33">
        <f>IF(OR(A198="",D198=""),"",IFERROR(ROUND(D198*IF(INDEX(Programmes!$L$2:$L$10,MATCH(A198,Programmes!$A$2:$A$10,0))="",INDEX(Programmes!$K$2:$K$10,MATCH(A198,Programmes!$A$2:$A$10,0)),INDEX(Programmes!$L$2:$L$10,MATCH(A198,Programmes!$A$2:$A$10,0))),1),""))</f>
        <v/>
      </c>
      <c r="J198" s="33">
        <f>IF(I198="","",IF(LOWER(E198)="auto",ROUND(I198*Rules!$C$8,1),IF(RIGHT(E198,1)="%",ROUND(I198*VALUE(LEFT(E198,LEN(E198)-1))/100,1),IF(RIGHT(LOWER(E198),2)="km",VALUE(LEFT(E198,LEN(E198)-2)),IF(LOWER(E198)="race","race",E198)))))</f>
        <v/>
      </c>
    </row>
    <row r="199" ht="15" customHeight="1" s="21">
      <c r="A199" s="32" t="n"/>
      <c r="B199" s="32" t="n"/>
      <c r="C199" s="32" t="n"/>
      <c r="D199" s="35" t="n"/>
      <c r="E199" s="32" t="n"/>
      <c r="F199" s="32" t="n"/>
      <c r="G199" s="32" t="n"/>
      <c r="H199" s="33">
        <f>IF(A199="","",COUNTIFS('Run sessions'!$A$2:$A$401,A199,'Run sessions'!$B$2:$B$401,B199))</f>
        <v/>
      </c>
      <c r="I199" s="33">
        <f>IF(OR(A199="",D199=""),"",IFERROR(ROUND(D199*IF(INDEX(Programmes!$L$2:$L$10,MATCH(A199,Programmes!$A$2:$A$10,0))="",INDEX(Programmes!$K$2:$K$10,MATCH(A199,Programmes!$A$2:$A$10,0)),INDEX(Programmes!$L$2:$L$10,MATCH(A199,Programmes!$A$2:$A$10,0))),1),""))</f>
        <v/>
      </c>
      <c r="J199" s="33">
        <f>IF(I199="","",IF(LOWER(E199)="auto",ROUND(I199*Rules!$C$8,1),IF(RIGHT(E199,1)="%",ROUND(I199*VALUE(LEFT(E199,LEN(E199)-1))/100,1),IF(RIGHT(LOWER(E199),2)="km",VALUE(LEFT(E199,LEN(E199)-2)),IF(LOWER(E199)="race","race",E199)))))</f>
        <v/>
      </c>
    </row>
    <row r="200" ht="15" customHeight="1" s="21">
      <c r="A200" s="32" t="n"/>
      <c r="B200" s="32" t="n"/>
      <c r="C200" s="32" t="n"/>
      <c r="D200" s="35" t="n"/>
      <c r="E200" s="32" t="n"/>
      <c r="F200" s="32" t="n"/>
      <c r="G200" s="32" t="n"/>
      <c r="H200" s="33">
        <f>IF(A200="","",COUNTIFS('Run sessions'!$A$2:$A$401,A200,'Run sessions'!$B$2:$B$401,B200))</f>
        <v/>
      </c>
      <c r="I200" s="33">
        <f>IF(OR(A200="",D200=""),"",IFERROR(ROUND(D200*IF(INDEX(Programmes!$L$2:$L$10,MATCH(A200,Programmes!$A$2:$A$10,0))="",INDEX(Programmes!$K$2:$K$10,MATCH(A200,Programmes!$A$2:$A$10,0)),INDEX(Programmes!$L$2:$L$10,MATCH(A200,Programmes!$A$2:$A$10,0))),1),""))</f>
        <v/>
      </c>
      <c r="J200" s="33">
        <f>IF(I200="","",IF(LOWER(E200)="auto",ROUND(I200*Rules!$C$8,1),IF(RIGHT(E200,1)="%",ROUND(I200*VALUE(LEFT(E200,LEN(E200)-1))/100,1),IF(RIGHT(LOWER(E200),2)="km",VALUE(LEFT(E200,LEN(E200)-2)),IF(LOWER(E200)="race","race",E200)))))</f>
        <v/>
      </c>
    </row>
    <row r="201" ht="15" customHeight="1" s="21">
      <c r="A201" s="32" t="n"/>
      <c r="B201" s="32" t="n"/>
      <c r="C201" s="32" t="n"/>
      <c r="D201" s="35" t="n"/>
      <c r="E201" s="32" t="n"/>
      <c r="F201" s="32" t="n"/>
      <c r="G201" s="32" t="n"/>
      <c r="H201" s="33">
        <f>IF(A201="","",COUNTIFS('Run sessions'!$A$2:$A$401,A201,'Run sessions'!$B$2:$B$401,B201))</f>
        <v/>
      </c>
      <c r="I201" s="33">
        <f>IF(OR(A201="",D201=""),"",IFERROR(ROUND(D201*IF(INDEX(Programmes!$L$2:$L$10,MATCH(A201,Programmes!$A$2:$A$10,0))="",INDEX(Programmes!$K$2:$K$10,MATCH(A201,Programmes!$A$2:$A$10,0)),INDEX(Programmes!$L$2:$L$10,MATCH(A201,Programmes!$A$2:$A$10,0))),1),""))</f>
        <v/>
      </c>
      <c r="J201" s="33">
        <f>IF(I201="","",IF(LOWER(E201)="auto",ROUND(I201*Rules!$C$8,1),IF(RIGHT(E201,1)="%",ROUND(I201*VALUE(LEFT(E201,LEN(E201)-1))/100,1),IF(RIGHT(LOWER(E201),2)="km",VALUE(LEFT(E201,LEN(E201)-2)),IF(LOWER(E201)="race","race",E201)))))</f>
        <v/>
      </c>
    </row>
    <row r="202" ht="15" customHeight="1" s="21">
      <c r="A202" s="32" t="n"/>
      <c r="B202" s="32" t="n"/>
      <c r="C202" s="32" t="n"/>
      <c r="D202" s="35" t="n"/>
      <c r="E202" s="32" t="n"/>
      <c r="F202" s="32" t="n"/>
      <c r="G202" s="32" t="n"/>
      <c r="H202" s="33">
        <f>IF(A202="","",COUNTIFS('Run sessions'!$A$2:$A$401,A202,'Run sessions'!$B$2:$B$401,B202))</f>
        <v/>
      </c>
      <c r="I202" s="33">
        <f>IF(OR(A202="",D202=""),"",IFERROR(ROUND(D202*IF(INDEX(Programmes!$L$2:$L$10,MATCH(A202,Programmes!$A$2:$A$10,0))="",INDEX(Programmes!$K$2:$K$10,MATCH(A202,Programmes!$A$2:$A$10,0)),INDEX(Programmes!$L$2:$L$10,MATCH(A202,Programmes!$A$2:$A$10,0))),1),""))</f>
        <v/>
      </c>
      <c r="J202" s="33">
        <f>IF(I202="","",IF(LOWER(E202)="auto",ROUND(I202*Rules!$C$8,1),IF(RIGHT(E202,1)="%",ROUND(I202*VALUE(LEFT(E202,LEN(E202)-1))/100,1),IF(RIGHT(LOWER(E202),2)="km",VALUE(LEFT(E202,LEN(E202)-2)),IF(LOWER(E202)="race","race",E202)))))</f>
        <v/>
      </c>
    </row>
    <row r="203" ht="15" customHeight="1" s="21">
      <c r="A203" s="32" t="n"/>
      <c r="B203" s="32" t="n"/>
      <c r="C203" s="32" t="n"/>
      <c r="D203" s="35" t="n"/>
      <c r="E203" s="32" t="n"/>
      <c r="F203" s="32" t="n"/>
      <c r="G203" s="32" t="n"/>
      <c r="H203" s="33">
        <f>IF(A203="","",COUNTIFS('Run sessions'!$A$2:$A$401,A203,'Run sessions'!$B$2:$B$401,B203))</f>
        <v/>
      </c>
      <c r="I203" s="33">
        <f>IF(OR(A203="",D203=""),"",IFERROR(ROUND(D203*IF(INDEX(Programmes!$L$2:$L$10,MATCH(A203,Programmes!$A$2:$A$10,0))="",INDEX(Programmes!$K$2:$K$10,MATCH(A203,Programmes!$A$2:$A$10,0)),INDEX(Programmes!$L$2:$L$10,MATCH(A203,Programmes!$A$2:$A$10,0))),1),""))</f>
        <v/>
      </c>
      <c r="J203" s="33">
        <f>IF(I203="","",IF(LOWER(E203)="auto",ROUND(I203*Rules!$C$8,1),IF(RIGHT(E203,1)="%",ROUND(I203*VALUE(LEFT(E203,LEN(E203)-1))/100,1),IF(RIGHT(LOWER(E203),2)="km",VALUE(LEFT(E203,LEN(E203)-2)),IF(LOWER(E203)="race","race",E203)))))</f>
        <v/>
      </c>
    </row>
    <row r="204" ht="15" customHeight="1" s="21">
      <c r="A204" s="32" t="n"/>
      <c r="B204" s="32" t="n"/>
      <c r="C204" s="32" t="n"/>
      <c r="D204" s="35" t="n"/>
      <c r="E204" s="32" t="n"/>
      <c r="F204" s="32" t="n"/>
      <c r="G204" s="32" t="n"/>
      <c r="H204" s="33">
        <f>IF(A204="","",COUNTIFS('Run sessions'!$A$2:$A$401,A204,'Run sessions'!$B$2:$B$401,B204))</f>
        <v/>
      </c>
      <c r="I204" s="33">
        <f>IF(OR(A204="",D204=""),"",IFERROR(ROUND(D204*IF(INDEX(Programmes!$L$2:$L$10,MATCH(A204,Programmes!$A$2:$A$10,0))="",INDEX(Programmes!$K$2:$K$10,MATCH(A204,Programmes!$A$2:$A$10,0)),INDEX(Programmes!$L$2:$L$10,MATCH(A204,Programmes!$A$2:$A$10,0))),1),""))</f>
        <v/>
      </c>
      <c r="J204" s="33">
        <f>IF(I204="","",IF(LOWER(E204)="auto",ROUND(I204*Rules!$C$8,1),IF(RIGHT(E204,1)="%",ROUND(I204*VALUE(LEFT(E204,LEN(E204)-1))/100,1),IF(RIGHT(LOWER(E204),2)="km",VALUE(LEFT(E204,LEN(E204)-2)),IF(LOWER(E204)="race","race",E204)))))</f>
        <v/>
      </c>
    </row>
    <row r="205" ht="15" customHeight="1" s="21">
      <c r="A205" s="32" t="n"/>
      <c r="B205" s="32" t="n"/>
      <c r="C205" s="32" t="n"/>
      <c r="D205" s="35" t="n"/>
      <c r="E205" s="32" t="n"/>
      <c r="F205" s="32" t="n"/>
      <c r="G205" s="32" t="n"/>
      <c r="H205" s="33">
        <f>IF(A205="","",COUNTIFS('Run sessions'!$A$2:$A$401,A205,'Run sessions'!$B$2:$B$401,B205))</f>
        <v/>
      </c>
      <c r="I205" s="33">
        <f>IF(OR(A205="",D205=""),"",IFERROR(ROUND(D205*IF(INDEX(Programmes!$L$2:$L$10,MATCH(A205,Programmes!$A$2:$A$10,0))="",INDEX(Programmes!$K$2:$K$10,MATCH(A205,Programmes!$A$2:$A$10,0)),INDEX(Programmes!$L$2:$L$10,MATCH(A205,Programmes!$A$2:$A$10,0))),1),""))</f>
        <v/>
      </c>
      <c r="J205" s="33">
        <f>IF(I205="","",IF(LOWER(E205)="auto",ROUND(I205*Rules!$C$8,1),IF(RIGHT(E205,1)="%",ROUND(I205*VALUE(LEFT(E205,LEN(E205)-1))/100,1),IF(RIGHT(LOWER(E205),2)="km",VALUE(LEFT(E205,LEN(E205)-2)),IF(LOWER(E205)="race","race",E205)))))</f>
        <v/>
      </c>
    </row>
    <row r="206" ht="15" customHeight="1" s="21">
      <c r="A206" s="32" t="n"/>
      <c r="B206" s="32" t="n"/>
      <c r="C206" s="32" t="n"/>
      <c r="D206" s="35" t="n"/>
      <c r="E206" s="32" t="n"/>
      <c r="F206" s="32" t="n"/>
      <c r="G206" s="32" t="n"/>
      <c r="H206" s="33">
        <f>IF(A206="","",COUNTIFS('Run sessions'!$A$2:$A$401,A206,'Run sessions'!$B$2:$B$401,B206))</f>
        <v/>
      </c>
      <c r="I206" s="33">
        <f>IF(OR(A206="",D206=""),"",IFERROR(ROUND(D206*IF(INDEX(Programmes!$L$2:$L$10,MATCH(A206,Programmes!$A$2:$A$10,0))="",INDEX(Programmes!$K$2:$K$10,MATCH(A206,Programmes!$A$2:$A$10,0)),INDEX(Programmes!$L$2:$L$10,MATCH(A206,Programmes!$A$2:$A$10,0))),1),""))</f>
        <v/>
      </c>
      <c r="J206" s="33">
        <f>IF(I206="","",IF(LOWER(E206)="auto",ROUND(I206*Rules!$C$8,1),IF(RIGHT(E206,1)="%",ROUND(I206*VALUE(LEFT(E206,LEN(E206)-1))/100,1),IF(RIGHT(LOWER(E206),2)="km",VALUE(LEFT(E206,LEN(E206)-2)),IF(LOWER(E206)="race","race",E206)))))</f>
        <v/>
      </c>
    </row>
    <row r="207" ht="15" customHeight="1" s="21">
      <c r="A207" s="32" t="n"/>
      <c r="B207" s="32" t="n"/>
      <c r="C207" s="32" t="n"/>
      <c r="D207" s="35" t="n"/>
      <c r="E207" s="32" t="n"/>
      <c r="F207" s="32" t="n"/>
      <c r="G207" s="32" t="n"/>
      <c r="H207" s="33">
        <f>IF(A207="","",COUNTIFS('Run sessions'!$A$2:$A$401,A207,'Run sessions'!$B$2:$B$401,B207))</f>
        <v/>
      </c>
      <c r="I207" s="33">
        <f>IF(OR(A207="",D207=""),"",IFERROR(ROUND(D207*IF(INDEX(Programmes!$L$2:$L$10,MATCH(A207,Programmes!$A$2:$A$10,0))="",INDEX(Programmes!$K$2:$K$10,MATCH(A207,Programmes!$A$2:$A$10,0)),INDEX(Programmes!$L$2:$L$10,MATCH(A207,Programmes!$A$2:$A$10,0))),1),""))</f>
        <v/>
      </c>
      <c r="J207" s="33">
        <f>IF(I207="","",IF(LOWER(E207)="auto",ROUND(I207*Rules!$C$8,1),IF(RIGHT(E207,1)="%",ROUND(I207*VALUE(LEFT(E207,LEN(E207)-1))/100,1),IF(RIGHT(LOWER(E207),2)="km",VALUE(LEFT(E207,LEN(E207)-2)),IF(LOWER(E207)="race","race",E207)))))</f>
        <v/>
      </c>
    </row>
    <row r="208" ht="15" customHeight="1" s="21">
      <c r="A208" s="32" t="n"/>
      <c r="B208" s="32" t="n"/>
      <c r="C208" s="32" t="n"/>
      <c r="D208" s="35" t="n"/>
      <c r="E208" s="32" t="n"/>
      <c r="F208" s="32" t="n"/>
      <c r="G208" s="32" t="n"/>
      <c r="H208" s="33">
        <f>IF(A208="","",COUNTIFS('Run sessions'!$A$2:$A$401,A208,'Run sessions'!$B$2:$B$401,B208))</f>
        <v/>
      </c>
      <c r="I208" s="33">
        <f>IF(OR(A208="",D208=""),"",IFERROR(ROUND(D208*IF(INDEX(Programmes!$L$2:$L$10,MATCH(A208,Programmes!$A$2:$A$10,0))="",INDEX(Programmes!$K$2:$K$10,MATCH(A208,Programmes!$A$2:$A$10,0)),INDEX(Programmes!$L$2:$L$10,MATCH(A208,Programmes!$A$2:$A$10,0))),1),""))</f>
        <v/>
      </c>
      <c r="J208" s="33">
        <f>IF(I208="","",IF(LOWER(E208)="auto",ROUND(I208*Rules!$C$8,1),IF(RIGHT(E208,1)="%",ROUND(I208*VALUE(LEFT(E208,LEN(E208)-1))/100,1),IF(RIGHT(LOWER(E208),2)="km",VALUE(LEFT(E208,LEN(E208)-2)),IF(LOWER(E208)="race","race",E208)))))</f>
        <v/>
      </c>
    </row>
    <row r="209" ht="15" customHeight="1" s="21">
      <c r="A209" s="32" t="n"/>
      <c r="B209" s="32" t="n"/>
      <c r="C209" s="32" t="n"/>
      <c r="D209" s="35" t="n"/>
      <c r="E209" s="32" t="n"/>
      <c r="F209" s="32" t="n"/>
      <c r="G209" s="32" t="n"/>
      <c r="H209" s="33">
        <f>IF(A209="","",COUNTIFS('Run sessions'!$A$2:$A$401,A209,'Run sessions'!$B$2:$B$401,B209))</f>
        <v/>
      </c>
      <c r="I209" s="33">
        <f>IF(OR(A209="",D209=""),"",IFERROR(ROUND(D209*IF(INDEX(Programmes!$L$2:$L$10,MATCH(A209,Programmes!$A$2:$A$10,0))="",INDEX(Programmes!$K$2:$K$10,MATCH(A209,Programmes!$A$2:$A$10,0)),INDEX(Programmes!$L$2:$L$10,MATCH(A209,Programmes!$A$2:$A$10,0))),1),""))</f>
        <v/>
      </c>
      <c r="J209" s="33">
        <f>IF(I209="","",IF(LOWER(E209)="auto",ROUND(I209*Rules!$C$8,1),IF(RIGHT(E209,1)="%",ROUND(I209*VALUE(LEFT(E209,LEN(E209)-1))/100,1),IF(RIGHT(LOWER(E209),2)="km",VALUE(LEFT(E209,LEN(E209)-2)),IF(LOWER(E209)="race","race",E209)))))</f>
        <v/>
      </c>
    </row>
    <row r="210" ht="15" customHeight="1" s="21">
      <c r="A210" s="32" t="n"/>
      <c r="B210" s="32" t="n"/>
      <c r="C210" s="32" t="n"/>
      <c r="D210" s="35" t="n"/>
      <c r="E210" s="32" t="n"/>
      <c r="F210" s="32" t="n"/>
      <c r="G210" s="32" t="n"/>
      <c r="H210" s="33">
        <f>IF(A210="","",COUNTIFS('Run sessions'!$A$2:$A$401,A210,'Run sessions'!$B$2:$B$401,B210))</f>
        <v/>
      </c>
      <c r="I210" s="33">
        <f>IF(OR(A210="",D210=""),"",IFERROR(ROUND(D210*IF(INDEX(Programmes!$L$2:$L$10,MATCH(A210,Programmes!$A$2:$A$10,0))="",INDEX(Programmes!$K$2:$K$10,MATCH(A210,Programmes!$A$2:$A$10,0)),INDEX(Programmes!$L$2:$L$10,MATCH(A210,Programmes!$A$2:$A$10,0))),1),""))</f>
        <v/>
      </c>
      <c r="J210" s="33">
        <f>IF(I210="","",IF(LOWER(E210)="auto",ROUND(I210*Rules!$C$8,1),IF(RIGHT(E210,1)="%",ROUND(I210*VALUE(LEFT(E210,LEN(E210)-1))/100,1),IF(RIGHT(LOWER(E210),2)="km",VALUE(LEFT(E210,LEN(E210)-2)),IF(LOWER(E210)="race","race",E210)))))</f>
        <v/>
      </c>
    </row>
    <row r="211" ht="15" customHeight="1" s="21">
      <c r="A211" s="32" t="n"/>
      <c r="B211" s="32" t="n"/>
      <c r="C211" s="32" t="n"/>
      <c r="D211" s="35" t="n"/>
      <c r="E211" s="32" t="n"/>
      <c r="F211" s="32" t="n"/>
      <c r="G211" s="32" t="n"/>
      <c r="H211" s="33">
        <f>IF(A211="","",COUNTIFS('Run sessions'!$A$2:$A$401,A211,'Run sessions'!$B$2:$B$401,B211))</f>
        <v/>
      </c>
      <c r="I211" s="33">
        <f>IF(OR(A211="",D211=""),"",IFERROR(ROUND(D211*IF(INDEX(Programmes!$L$2:$L$10,MATCH(A211,Programmes!$A$2:$A$10,0))="",INDEX(Programmes!$K$2:$K$10,MATCH(A211,Programmes!$A$2:$A$10,0)),INDEX(Programmes!$L$2:$L$10,MATCH(A211,Programmes!$A$2:$A$10,0))),1),""))</f>
        <v/>
      </c>
      <c r="J211" s="33">
        <f>IF(I211="","",IF(LOWER(E211)="auto",ROUND(I211*Rules!$C$8,1),IF(RIGHT(E211,1)="%",ROUND(I211*VALUE(LEFT(E211,LEN(E211)-1))/100,1),IF(RIGHT(LOWER(E211),2)="km",VALUE(LEFT(E211,LEN(E211)-2)),IF(LOWER(E211)="race","race",E211)))))</f>
        <v/>
      </c>
    </row>
    <row r="212" ht="15" customHeight="1" s="21">
      <c r="A212" s="32" t="n"/>
      <c r="B212" s="32" t="n"/>
      <c r="C212" s="32" t="n"/>
      <c r="D212" s="35" t="n"/>
      <c r="E212" s="32" t="n"/>
      <c r="F212" s="32" t="n"/>
      <c r="G212" s="32" t="n"/>
      <c r="H212" s="33">
        <f>IF(A212="","",COUNTIFS('Run sessions'!$A$2:$A$401,A212,'Run sessions'!$B$2:$B$401,B212))</f>
        <v/>
      </c>
      <c r="I212" s="33">
        <f>IF(OR(A212="",D212=""),"",IFERROR(ROUND(D212*IF(INDEX(Programmes!$L$2:$L$10,MATCH(A212,Programmes!$A$2:$A$10,0))="",INDEX(Programmes!$K$2:$K$10,MATCH(A212,Programmes!$A$2:$A$10,0)),INDEX(Programmes!$L$2:$L$10,MATCH(A212,Programmes!$A$2:$A$10,0))),1),""))</f>
        <v/>
      </c>
      <c r="J212" s="33">
        <f>IF(I212="","",IF(LOWER(E212)="auto",ROUND(I212*Rules!$C$8,1),IF(RIGHT(E212,1)="%",ROUND(I212*VALUE(LEFT(E212,LEN(E212)-1))/100,1),IF(RIGHT(LOWER(E212),2)="km",VALUE(LEFT(E212,LEN(E212)-2)),IF(LOWER(E212)="race","race",E212)))))</f>
        <v/>
      </c>
    </row>
    <row r="213" ht="15" customHeight="1" s="21">
      <c r="A213" s="32" t="n"/>
      <c r="B213" s="32" t="n"/>
      <c r="C213" s="32" t="n"/>
      <c r="D213" s="35" t="n"/>
      <c r="E213" s="32" t="n"/>
      <c r="F213" s="32" t="n"/>
      <c r="G213" s="32" t="n"/>
      <c r="H213" s="33">
        <f>IF(A213="","",COUNTIFS('Run sessions'!$A$2:$A$401,A213,'Run sessions'!$B$2:$B$401,B213))</f>
        <v/>
      </c>
      <c r="I213" s="33">
        <f>IF(OR(A213="",D213=""),"",IFERROR(ROUND(D213*IF(INDEX(Programmes!$L$2:$L$10,MATCH(A213,Programmes!$A$2:$A$10,0))="",INDEX(Programmes!$K$2:$K$10,MATCH(A213,Programmes!$A$2:$A$10,0)),INDEX(Programmes!$L$2:$L$10,MATCH(A213,Programmes!$A$2:$A$10,0))),1),""))</f>
        <v/>
      </c>
      <c r="J213" s="33">
        <f>IF(I213="","",IF(LOWER(E213)="auto",ROUND(I213*Rules!$C$8,1),IF(RIGHT(E213,1)="%",ROUND(I213*VALUE(LEFT(E213,LEN(E213)-1))/100,1),IF(RIGHT(LOWER(E213),2)="km",VALUE(LEFT(E213,LEN(E213)-2)),IF(LOWER(E213)="race","race",E213)))))</f>
        <v/>
      </c>
    </row>
    <row r="214" ht="15" customHeight="1" s="21">
      <c r="A214" s="32" t="n"/>
      <c r="B214" s="32" t="n"/>
      <c r="C214" s="32" t="n"/>
      <c r="D214" s="35" t="n"/>
      <c r="E214" s="32" t="n"/>
      <c r="F214" s="32" t="n"/>
      <c r="G214" s="32" t="n"/>
      <c r="H214" s="33">
        <f>IF(A214="","",COUNTIFS('Run sessions'!$A$2:$A$401,A214,'Run sessions'!$B$2:$B$401,B214))</f>
        <v/>
      </c>
      <c r="I214" s="33">
        <f>IF(OR(A214="",D214=""),"",IFERROR(ROUND(D214*IF(INDEX(Programmes!$L$2:$L$10,MATCH(A214,Programmes!$A$2:$A$10,0))="",INDEX(Programmes!$K$2:$K$10,MATCH(A214,Programmes!$A$2:$A$10,0)),INDEX(Programmes!$L$2:$L$10,MATCH(A214,Programmes!$A$2:$A$10,0))),1),""))</f>
        <v/>
      </c>
      <c r="J214" s="33">
        <f>IF(I214="","",IF(LOWER(E214)="auto",ROUND(I214*Rules!$C$8,1),IF(RIGHT(E214,1)="%",ROUND(I214*VALUE(LEFT(E214,LEN(E214)-1))/100,1),IF(RIGHT(LOWER(E214),2)="km",VALUE(LEFT(E214,LEN(E214)-2)),IF(LOWER(E214)="race","race",E214)))))</f>
        <v/>
      </c>
    </row>
    <row r="215" ht="15" customHeight="1" s="21">
      <c r="A215" s="32" t="n"/>
      <c r="B215" s="32" t="n"/>
      <c r="C215" s="32" t="n"/>
      <c r="D215" s="35" t="n"/>
      <c r="E215" s="32" t="n"/>
      <c r="F215" s="32" t="n"/>
      <c r="G215" s="32" t="n"/>
      <c r="H215" s="33">
        <f>IF(A215="","",COUNTIFS('Run sessions'!$A$2:$A$401,A215,'Run sessions'!$B$2:$B$401,B215))</f>
        <v/>
      </c>
      <c r="I215" s="33">
        <f>IF(OR(A215="",D215=""),"",IFERROR(ROUND(D215*IF(INDEX(Programmes!$L$2:$L$10,MATCH(A215,Programmes!$A$2:$A$10,0))="",INDEX(Programmes!$K$2:$K$10,MATCH(A215,Programmes!$A$2:$A$10,0)),INDEX(Programmes!$L$2:$L$10,MATCH(A215,Programmes!$A$2:$A$10,0))),1),""))</f>
        <v/>
      </c>
      <c r="J215" s="33">
        <f>IF(I215="","",IF(LOWER(E215)="auto",ROUND(I215*Rules!$C$8,1),IF(RIGHT(E215,1)="%",ROUND(I215*VALUE(LEFT(E215,LEN(E215)-1))/100,1),IF(RIGHT(LOWER(E215),2)="km",VALUE(LEFT(E215,LEN(E215)-2)),IF(LOWER(E215)="race","race",E215)))))</f>
        <v/>
      </c>
    </row>
    <row r="216" ht="15" customHeight="1" s="21">
      <c r="A216" s="32" t="n"/>
      <c r="B216" s="32" t="n"/>
      <c r="C216" s="32" t="n"/>
      <c r="D216" s="35" t="n"/>
      <c r="E216" s="32" t="n"/>
      <c r="F216" s="32" t="n"/>
      <c r="G216" s="32" t="n"/>
      <c r="H216" s="33">
        <f>IF(A216="","",COUNTIFS('Run sessions'!$A$2:$A$401,A216,'Run sessions'!$B$2:$B$401,B216))</f>
        <v/>
      </c>
      <c r="I216" s="33">
        <f>IF(OR(A216="",D216=""),"",IFERROR(ROUND(D216*IF(INDEX(Programmes!$L$2:$L$10,MATCH(A216,Programmes!$A$2:$A$10,0))="",INDEX(Programmes!$K$2:$K$10,MATCH(A216,Programmes!$A$2:$A$10,0)),INDEX(Programmes!$L$2:$L$10,MATCH(A216,Programmes!$A$2:$A$10,0))),1),""))</f>
        <v/>
      </c>
      <c r="J216" s="33">
        <f>IF(I216="","",IF(LOWER(E216)="auto",ROUND(I216*Rules!$C$8,1),IF(RIGHT(E216,1)="%",ROUND(I216*VALUE(LEFT(E216,LEN(E216)-1))/100,1),IF(RIGHT(LOWER(E216),2)="km",VALUE(LEFT(E216,LEN(E216)-2)),IF(LOWER(E216)="race","race",E216)))))</f>
        <v/>
      </c>
    </row>
    <row r="217" ht="15" customHeight="1" s="21">
      <c r="A217" s="32" t="n"/>
      <c r="B217" s="32" t="n"/>
      <c r="C217" s="32" t="n"/>
      <c r="D217" s="35" t="n"/>
      <c r="E217" s="32" t="n"/>
      <c r="F217" s="32" t="n"/>
      <c r="G217" s="32" t="n"/>
      <c r="H217" s="33">
        <f>IF(A217="","",COUNTIFS('Run sessions'!$A$2:$A$401,A217,'Run sessions'!$B$2:$B$401,B217))</f>
        <v/>
      </c>
      <c r="I217" s="33">
        <f>IF(OR(A217="",D217=""),"",IFERROR(ROUND(D217*IF(INDEX(Programmes!$L$2:$L$10,MATCH(A217,Programmes!$A$2:$A$10,0))="",INDEX(Programmes!$K$2:$K$10,MATCH(A217,Programmes!$A$2:$A$10,0)),INDEX(Programmes!$L$2:$L$10,MATCH(A217,Programmes!$A$2:$A$10,0))),1),""))</f>
        <v/>
      </c>
      <c r="J217" s="33">
        <f>IF(I217="","",IF(LOWER(E217)="auto",ROUND(I217*Rules!$C$8,1),IF(RIGHT(E217,1)="%",ROUND(I217*VALUE(LEFT(E217,LEN(E217)-1))/100,1),IF(RIGHT(LOWER(E217),2)="km",VALUE(LEFT(E217,LEN(E217)-2)),IF(LOWER(E217)="race","race",E217)))))</f>
        <v/>
      </c>
    </row>
    <row r="218" ht="15" customHeight="1" s="21">
      <c r="A218" s="32" t="n"/>
      <c r="B218" s="32" t="n"/>
      <c r="C218" s="32" t="n"/>
      <c r="D218" s="35" t="n"/>
      <c r="E218" s="32" t="n"/>
      <c r="F218" s="32" t="n"/>
      <c r="G218" s="32" t="n"/>
      <c r="H218" s="33">
        <f>IF(A218="","",COUNTIFS('Run sessions'!$A$2:$A$401,A218,'Run sessions'!$B$2:$B$401,B218))</f>
        <v/>
      </c>
      <c r="I218" s="33">
        <f>IF(OR(A218="",D218=""),"",IFERROR(ROUND(D218*IF(INDEX(Programmes!$L$2:$L$10,MATCH(A218,Programmes!$A$2:$A$10,0))="",INDEX(Programmes!$K$2:$K$10,MATCH(A218,Programmes!$A$2:$A$10,0)),INDEX(Programmes!$L$2:$L$10,MATCH(A218,Programmes!$A$2:$A$10,0))),1),""))</f>
        <v/>
      </c>
      <c r="J218" s="33">
        <f>IF(I218="","",IF(LOWER(E218)="auto",ROUND(I218*Rules!$C$8,1),IF(RIGHT(E218,1)="%",ROUND(I218*VALUE(LEFT(E218,LEN(E218)-1))/100,1),IF(RIGHT(LOWER(E218),2)="km",VALUE(LEFT(E218,LEN(E218)-2)),IF(LOWER(E218)="race","race",E218)))))</f>
        <v/>
      </c>
    </row>
    <row r="219" ht="15" customHeight="1" s="21">
      <c r="A219" s="32" t="n"/>
      <c r="B219" s="32" t="n"/>
      <c r="C219" s="32" t="n"/>
      <c r="D219" s="35" t="n"/>
      <c r="E219" s="32" t="n"/>
      <c r="F219" s="32" t="n"/>
      <c r="G219" s="32" t="n"/>
      <c r="H219" s="33">
        <f>IF(A219="","",COUNTIFS('Run sessions'!$A$2:$A$401,A219,'Run sessions'!$B$2:$B$401,B219))</f>
        <v/>
      </c>
      <c r="I219" s="33">
        <f>IF(OR(A219="",D219=""),"",IFERROR(ROUND(D219*IF(INDEX(Programmes!$L$2:$L$10,MATCH(A219,Programmes!$A$2:$A$10,0))="",INDEX(Programmes!$K$2:$K$10,MATCH(A219,Programmes!$A$2:$A$10,0)),INDEX(Programmes!$L$2:$L$10,MATCH(A219,Programmes!$A$2:$A$10,0))),1),""))</f>
        <v/>
      </c>
      <c r="J219" s="33">
        <f>IF(I219="","",IF(LOWER(E219)="auto",ROUND(I219*Rules!$C$8,1),IF(RIGHT(E219,1)="%",ROUND(I219*VALUE(LEFT(E219,LEN(E219)-1))/100,1),IF(RIGHT(LOWER(E219),2)="km",VALUE(LEFT(E219,LEN(E219)-2)),IF(LOWER(E219)="race","race",E219)))))</f>
        <v/>
      </c>
    </row>
    <row r="220" ht="15" customHeight="1" s="21">
      <c r="A220" s="32" t="n"/>
      <c r="B220" s="32" t="n"/>
      <c r="C220" s="32" t="n"/>
      <c r="D220" s="35" t="n"/>
      <c r="E220" s="32" t="n"/>
      <c r="F220" s="32" t="n"/>
      <c r="G220" s="32" t="n"/>
      <c r="H220" s="33">
        <f>IF(A220="","",COUNTIFS('Run sessions'!$A$2:$A$401,A220,'Run sessions'!$B$2:$B$401,B220))</f>
        <v/>
      </c>
      <c r="I220" s="33">
        <f>IF(OR(A220="",D220=""),"",IFERROR(ROUND(D220*IF(INDEX(Programmes!$L$2:$L$10,MATCH(A220,Programmes!$A$2:$A$10,0))="",INDEX(Programmes!$K$2:$K$10,MATCH(A220,Programmes!$A$2:$A$10,0)),INDEX(Programmes!$L$2:$L$10,MATCH(A220,Programmes!$A$2:$A$10,0))),1),""))</f>
        <v/>
      </c>
      <c r="J220" s="33">
        <f>IF(I220="","",IF(LOWER(E220)="auto",ROUND(I220*Rules!$C$8,1),IF(RIGHT(E220,1)="%",ROUND(I220*VALUE(LEFT(E220,LEN(E220)-1))/100,1),IF(RIGHT(LOWER(E220),2)="km",VALUE(LEFT(E220,LEN(E220)-2)),IF(LOWER(E220)="race","race",E220)))))</f>
        <v/>
      </c>
    </row>
    <row r="221" ht="15" customHeight="1" s="21">
      <c r="A221" s="32" t="n"/>
      <c r="B221" s="32" t="n"/>
      <c r="C221" s="32" t="n"/>
      <c r="D221" s="35" t="n"/>
      <c r="E221" s="32" t="n"/>
      <c r="F221" s="32" t="n"/>
      <c r="G221" s="32" t="n"/>
      <c r="H221" s="33">
        <f>IF(A221="","",COUNTIFS('Run sessions'!$A$2:$A$401,A221,'Run sessions'!$B$2:$B$401,B221))</f>
        <v/>
      </c>
      <c r="I221" s="33">
        <f>IF(OR(A221="",D221=""),"",IFERROR(ROUND(D221*IF(INDEX(Programmes!$L$2:$L$10,MATCH(A221,Programmes!$A$2:$A$10,0))="",INDEX(Programmes!$K$2:$K$10,MATCH(A221,Programmes!$A$2:$A$10,0)),INDEX(Programmes!$L$2:$L$10,MATCH(A221,Programmes!$A$2:$A$10,0))),1),""))</f>
        <v/>
      </c>
      <c r="J221" s="33">
        <f>IF(I221="","",IF(LOWER(E221)="auto",ROUND(I221*Rules!$C$8,1),IF(RIGHT(E221,1)="%",ROUND(I221*VALUE(LEFT(E221,LEN(E221)-1))/100,1),IF(RIGHT(LOWER(E221),2)="km",VALUE(LEFT(E221,LEN(E221)-2)),IF(LOWER(E221)="race","race",E221)))))</f>
        <v/>
      </c>
    </row>
    <row r="222" ht="15" customHeight="1" s="21">
      <c r="A222" s="32" t="n"/>
      <c r="B222" s="32" t="n"/>
      <c r="C222" s="32" t="n"/>
      <c r="D222" s="35" t="n"/>
      <c r="E222" s="32" t="n"/>
      <c r="F222" s="32" t="n"/>
      <c r="G222" s="32" t="n"/>
      <c r="H222" s="33">
        <f>IF(A222="","",COUNTIFS('Run sessions'!$A$2:$A$401,A222,'Run sessions'!$B$2:$B$401,B222))</f>
        <v/>
      </c>
      <c r="I222" s="33">
        <f>IF(OR(A222="",D222=""),"",IFERROR(ROUND(D222*IF(INDEX(Programmes!$L$2:$L$10,MATCH(A222,Programmes!$A$2:$A$10,0))="",INDEX(Programmes!$K$2:$K$10,MATCH(A222,Programmes!$A$2:$A$10,0)),INDEX(Programmes!$L$2:$L$10,MATCH(A222,Programmes!$A$2:$A$10,0))),1),""))</f>
        <v/>
      </c>
      <c r="J222" s="33">
        <f>IF(I222="","",IF(LOWER(E222)="auto",ROUND(I222*Rules!$C$8,1),IF(RIGHT(E222,1)="%",ROUND(I222*VALUE(LEFT(E222,LEN(E222)-1))/100,1),IF(RIGHT(LOWER(E222),2)="km",VALUE(LEFT(E222,LEN(E222)-2)),IF(LOWER(E222)="race","race",E222)))))</f>
        <v/>
      </c>
    </row>
    <row r="223" ht="15" customHeight="1" s="21">
      <c r="A223" s="32" t="n"/>
      <c r="B223" s="32" t="n"/>
      <c r="C223" s="32" t="n"/>
      <c r="D223" s="35" t="n"/>
      <c r="E223" s="32" t="n"/>
      <c r="F223" s="32" t="n"/>
      <c r="G223" s="32" t="n"/>
      <c r="H223" s="33">
        <f>IF(A223="","",COUNTIFS('Run sessions'!$A$2:$A$401,A223,'Run sessions'!$B$2:$B$401,B223))</f>
        <v/>
      </c>
      <c r="I223" s="33">
        <f>IF(OR(A223="",D223=""),"",IFERROR(ROUND(D223*IF(INDEX(Programmes!$L$2:$L$10,MATCH(A223,Programmes!$A$2:$A$10,0))="",INDEX(Programmes!$K$2:$K$10,MATCH(A223,Programmes!$A$2:$A$10,0)),INDEX(Programmes!$L$2:$L$10,MATCH(A223,Programmes!$A$2:$A$10,0))),1),""))</f>
        <v/>
      </c>
      <c r="J223" s="33">
        <f>IF(I223="","",IF(LOWER(E223)="auto",ROUND(I223*Rules!$C$8,1),IF(RIGHT(E223,1)="%",ROUND(I223*VALUE(LEFT(E223,LEN(E223)-1))/100,1),IF(RIGHT(LOWER(E223),2)="km",VALUE(LEFT(E223,LEN(E223)-2)),IF(LOWER(E223)="race","race",E223)))))</f>
        <v/>
      </c>
    </row>
    <row r="224" ht="15" customHeight="1" s="21">
      <c r="A224" s="32" t="n"/>
      <c r="B224" s="32" t="n"/>
      <c r="C224" s="32" t="n"/>
      <c r="D224" s="35" t="n"/>
      <c r="E224" s="32" t="n"/>
      <c r="F224" s="32" t="n"/>
      <c r="G224" s="32" t="n"/>
      <c r="H224" s="33">
        <f>IF(A224="","",COUNTIFS('Run sessions'!$A$2:$A$401,A224,'Run sessions'!$B$2:$B$401,B224))</f>
        <v/>
      </c>
      <c r="I224" s="33">
        <f>IF(OR(A224="",D224=""),"",IFERROR(ROUND(D224*IF(INDEX(Programmes!$L$2:$L$10,MATCH(A224,Programmes!$A$2:$A$10,0))="",INDEX(Programmes!$K$2:$K$10,MATCH(A224,Programmes!$A$2:$A$10,0)),INDEX(Programmes!$L$2:$L$10,MATCH(A224,Programmes!$A$2:$A$10,0))),1),""))</f>
        <v/>
      </c>
      <c r="J224" s="33">
        <f>IF(I224="","",IF(LOWER(E224)="auto",ROUND(I224*Rules!$C$8,1),IF(RIGHT(E224,1)="%",ROUND(I224*VALUE(LEFT(E224,LEN(E224)-1))/100,1),IF(RIGHT(LOWER(E224),2)="km",VALUE(LEFT(E224,LEN(E224)-2)),IF(LOWER(E224)="race","race",E224)))))</f>
        <v/>
      </c>
    </row>
    <row r="225" ht="15" customHeight="1" s="21">
      <c r="A225" s="32" t="n"/>
      <c r="B225" s="32" t="n"/>
      <c r="C225" s="32" t="n"/>
      <c r="D225" s="35" t="n"/>
      <c r="E225" s="32" t="n"/>
      <c r="F225" s="32" t="n"/>
      <c r="G225" s="32" t="n"/>
      <c r="H225" s="33">
        <f>IF(A225="","",COUNTIFS('Run sessions'!$A$2:$A$401,A225,'Run sessions'!$B$2:$B$401,B225))</f>
        <v/>
      </c>
      <c r="I225" s="33">
        <f>IF(OR(A225="",D225=""),"",IFERROR(ROUND(D225*IF(INDEX(Programmes!$L$2:$L$10,MATCH(A225,Programmes!$A$2:$A$10,0))="",INDEX(Programmes!$K$2:$K$10,MATCH(A225,Programmes!$A$2:$A$10,0)),INDEX(Programmes!$L$2:$L$10,MATCH(A225,Programmes!$A$2:$A$10,0))),1),""))</f>
        <v/>
      </c>
      <c r="J225" s="33">
        <f>IF(I225="","",IF(LOWER(E225)="auto",ROUND(I225*Rules!$C$8,1),IF(RIGHT(E225,1)="%",ROUND(I225*VALUE(LEFT(E225,LEN(E225)-1))/100,1),IF(RIGHT(LOWER(E225),2)="km",VALUE(LEFT(E225,LEN(E225)-2)),IF(LOWER(E225)="race","race",E225)))))</f>
        <v/>
      </c>
    </row>
    <row r="226" ht="15" customHeight="1" s="21">
      <c r="A226" s="32" t="n"/>
      <c r="B226" s="32" t="n"/>
      <c r="C226" s="32" t="n"/>
      <c r="D226" s="35" t="n"/>
      <c r="E226" s="32" t="n"/>
      <c r="F226" s="32" t="n"/>
      <c r="G226" s="32" t="n"/>
      <c r="H226" s="33">
        <f>IF(A226="","",COUNTIFS('Run sessions'!$A$2:$A$401,A226,'Run sessions'!$B$2:$B$401,B226))</f>
        <v/>
      </c>
      <c r="I226" s="33">
        <f>IF(OR(A226="",D226=""),"",IFERROR(ROUND(D226*IF(INDEX(Programmes!$L$2:$L$10,MATCH(A226,Programmes!$A$2:$A$10,0))="",INDEX(Programmes!$K$2:$K$10,MATCH(A226,Programmes!$A$2:$A$10,0)),INDEX(Programmes!$L$2:$L$10,MATCH(A226,Programmes!$A$2:$A$10,0))),1),""))</f>
        <v/>
      </c>
      <c r="J226" s="33">
        <f>IF(I226="","",IF(LOWER(E226)="auto",ROUND(I226*Rules!$C$8,1),IF(RIGHT(E226,1)="%",ROUND(I226*VALUE(LEFT(E226,LEN(E226)-1))/100,1),IF(RIGHT(LOWER(E226),2)="km",VALUE(LEFT(E226,LEN(E226)-2)),IF(LOWER(E226)="race","race",E226)))))</f>
        <v/>
      </c>
    </row>
    <row r="227" ht="15" customHeight="1" s="21">
      <c r="A227" s="32" t="n"/>
      <c r="B227" s="32" t="n"/>
      <c r="C227" s="32" t="n"/>
      <c r="D227" s="35" t="n"/>
      <c r="E227" s="32" t="n"/>
      <c r="F227" s="32" t="n"/>
      <c r="G227" s="32" t="n"/>
      <c r="H227" s="33">
        <f>IF(A227="","",COUNTIFS('Run sessions'!$A$2:$A$401,A227,'Run sessions'!$B$2:$B$401,B227))</f>
        <v/>
      </c>
      <c r="I227" s="33">
        <f>IF(OR(A227="",D227=""),"",IFERROR(ROUND(D227*IF(INDEX(Programmes!$L$2:$L$10,MATCH(A227,Programmes!$A$2:$A$10,0))="",INDEX(Programmes!$K$2:$K$10,MATCH(A227,Programmes!$A$2:$A$10,0)),INDEX(Programmes!$L$2:$L$10,MATCH(A227,Programmes!$A$2:$A$10,0))),1),""))</f>
        <v/>
      </c>
      <c r="J227" s="33">
        <f>IF(I227="","",IF(LOWER(E227)="auto",ROUND(I227*Rules!$C$8,1),IF(RIGHT(E227,1)="%",ROUND(I227*VALUE(LEFT(E227,LEN(E227)-1))/100,1),IF(RIGHT(LOWER(E227),2)="km",VALUE(LEFT(E227,LEN(E227)-2)),IF(LOWER(E227)="race","race",E227)))))</f>
        <v/>
      </c>
    </row>
    <row r="228" ht="15" customHeight="1" s="21">
      <c r="A228" s="32" t="n"/>
      <c r="B228" s="32" t="n"/>
      <c r="C228" s="32" t="n"/>
      <c r="D228" s="35" t="n"/>
      <c r="E228" s="32" t="n"/>
      <c r="F228" s="32" t="n"/>
      <c r="G228" s="32" t="n"/>
      <c r="H228" s="33">
        <f>IF(A228="","",COUNTIFS('Run sessions'!$A$2:$A$401,A228,'Run sessions'!$B$2:$B$401,B228))</f>
        <v/>
      </c>
      <c r="I228" s="33">
        <f>IF(OR(A228="",D228=""),"",IFERROR(ROUND(D228*IF(INDEX(Programmes!$L$2:$L$10,MATCH(A228,Programmes!$A$2:$A$10,0))="",INDEX(Programmes!$K$2:$K$10,MATCH(A228,Programmes!$A$2:$A$10,0)),INDEX(Programmes!$L$2:$L$10,MATCH(A228,Programmes!$A$2:$A$10,0))),1),""))</f>
        <v/>
      </c>
      <c r="J228" s="33">
        <f>IF(I228="","",IF(LOWER(E228)="auto",ROUND(I228*Rules!$C$8,1),IF(RIGHT(E228,1)="%",ROUND(I228*VALUE(LEFT(E228,LEN(E228)-1))/100,1),IF(RIGHT(LOWER(E228),2)="km",VALUE(LEFT(E228,LEN(E228)-2)),IF(LOWER(E228)="race","race",E228)))))</f>
        <v/>
      </c>
    </row>
    <row r="229" ht="15" customHeight="1" s="21">
      <c r="A229" s="32" t="n"/>
      <c r="B229" s="32" t="n"/>
      <c r="C229" s="32" t="n"/>
      <c r="D229" s="35" t="n"/>
      <c r="E229" s="32" t="n"/>
      <c r="F229" s="32" t="n"/>
      <c r="G229" s="32" t="n"/>
      <c r="H229" s="33">
        <f>IF(A229="","",COUNTIFS('Run sessions'!$A$2:$A$401,A229,'Run sessions'!$B$2:$B$401,B229))</f>
        <v/>
      </c>
      <c r="I229" s="33">
        <f>IF(OR(A229="",D229=""),"",IFERROR(ROUND(D229*IF(INDEX(Programmes!$L$2:$L$10,MATCH(A229,Programmes!$A$2:$A$10,0))="",INDEX(Programmes!$K$2:$K$10,MATCH(A229,Programmes!$A$2:$A$10,0)),INDEX(Programmes!$L$2:$L$10,MATCH(A229,Programmes!$A$2:$A$10,0))),1),""))</f>
        <v/>
      </c>
      <c r="J229" s="33">
        <f>IF(I229="","",IF(LOWER(E229)="auto",ROUND(I229*Rules!$C$8,1),IF(RIGHT(E229,1)="%",ROUND(I229*VALUE(LEFT(E229,LEN(E229)-1))/100,1),IF(RIGHT(LOWER(E229),2)="km",VALUE(LEFT(E229,LEN(E229)-2)),IF(LOWER(E229)="race","race",E229)))))</f>
        <v/>
      </c>
    </row>
    <row r="230" ht="15" customHeight="1" s="21">
      <c r="A230" s="32" t="n"/>
      <c r="B230" s="32" t="n"/>
      <c r="C230" s="32" t="n"/>
      <c r="D230" s="35" t="n"/>
      <c r="E230" s="32" t="n"/>
      <c r="F230" s="32" t="n"/>
      <c r="G230" s="32" t="n"/>
      <c r="H230" s="33">
        <f>IF(A230="","",COUNTIFS('Run sessions'!$A$2:$A$401,A230,'Run sessions'!$B$2:$B$401,B230))</f>
        <v/>
      </c>
      <c r="I230" s="33">
        <f>IF(OR(A230="",D230=""),"",IFERROR(ROUND(D230*IF(INDEX(Programmes!$L$2:$L$10,MATCH(A230,Programmes!$A$2:$A$10,0))="",INDEX(Programmes!$K$2:$K$10,MATCH(A230,Programmes!$A$2:$A$10,0)),INDEX(Programmes!$L$2:$L$10,MATCH(A230,Programmes!$A$2:$A$10,0))),1),""))</f>
        <v/>
      </c>
      <c r="J230" s="33">
        <f>IF(I230="","",IF(LOWER(E230)="auto",ROUND(I230*Rules!$C$8,1),IF(RIGHT(E230,1)="%",ROUND(I230*VALUE(LEFT(E230,LEN(E230)-1))/100,1),IF(RIGHT(LOWER(E230),2)="km",VALUE(LEFT(E230,LEN(E230)-2)),IF(LOWER(E230)="race","race",E230)))))</f>
        <v/>
      </c>
    </row>
    <row r="231" ht="15" customHeight="1" s="21">
      <c r="A231" s="32" t="n"/>
      <c r="B231" s="32" t="n"/>
      <c r="C231" s="32" t="n"/>
      <c r="D231" s="35" t="n"/>
      <c r="E231" s="32" t="n"/>
      <c r="F231" s="32" t="n"/>
      <c r="G231" s="32" t="n"/>
      <c r="H231" s="33">
        <f>IF(A231="","",COUNTIFS('Run sessions'!$A$2:$A$401,A231,'Run sessions'!$B$2:$B$401,B231))</f>
        <v/>
      </c>
      <c r="I231" s="33">
        <f>IF(OR(A231="",D231=""),"",IFERROR(ROUND(D231*IF(INDEX(Programmes!$L$2:$L$10,MATCH(A231,Programmes!$A$2:$A$10,0))="",INDEX(Programmes!$K$2:$K$10,MATCH(A231,Programmes!$A$2:$A$10,0)),INDEX(Programmes!$L$2:$L$10,MATCH(A231,Programmes!$A$2:$A$10,0))),1),""))</f>
        <v/>
      </c>
      <c r="J231" s="33">
        <f>IF(I231="","",IF(LOWER(E231)="auto",ROUND(I231*Rules!$C$8,1),IF(RIGHT(E231,1)="%",ROUND(I231*VALUE(LEFT(E231,LEN(E231)-1))/100,1),IF(RIGHT(LOWER(E231),2)="km",VALUE(LEFT(E231,LEN(E231)-2)),IF(LOWER(E231)="race","race",E231)))))</f>
        <v/>
      </c>
    </row>
    <row r="232" ht="15" customHeight="1" s="21">
      <c r="A232" s="32" t="n"/>
      <c r="B232" s="32" t="n"/>
      <c r="C232" s="32" t="n"/>
      <c r="D232" s="35" t="n"/>
      <c r="E232" s="32" t="n"/>
      <c r="F232" s="32" t="n"/>
      <c r="G232" s="32" t="n"/>
      <c r="H232" s="33">
        <f>IF(A232="","",COUNTIFS('Run sessions'!$A$2:$A$401,A232,'Run sessions'!$B$2:$B$401,B232))</f>
        <v/>
      </c>
      <c r="I232" s="33">
        <f>IF(OR(A232="",D232=""),"",IFERROR(ROUND(D232*IF(INDEX(Programmes!$L$2:$L$10,MATCH(A232,Programmes!$A$2:$A$10,0))="",INDEX(Programmes!$K$2:$K$10,MATCH(A232,Programmes!$A$2:$A$10,0)),INDEX(Programmes!$L$2:$L$10,MATCH(A232,Programmes!$A$2:$A$10,0))),1),""))</f>
        <v/>
      </c>
      <c r="J232" s="33">
        <f>IF(I232="","",IF(LOWER(E232)="auto",ROUND(I232*Rules!$C$8,1),IF(RIGHT(E232,1)="%",ROUND(I232*VALUE(LEFT(E232,LEN(E232)-1))/100,1),IF(RIGHT(LOWER(E232),2)="km",VALUE(LEFT(E232,LEN(E232)-2)),IF(LOWER(E232)="race","race",E232)))))</f>
        <v/>
      </c>
    </row>
    <row r="233" ht="15" customHeight="1" s="21">
      <c r="A233" s="32" t="n"/>
      <c r="B233" s="32" t="n"/>
      <c r="C233" s="32" t="n"/>
      <c r="D233" s="35" t="n"/>
      <c r="E233" s="32" t="n"/>
      <c r="F233" s="32" t="n"/>
      <c r="G233" s="32" t="n"/>
      <c r="H233" s="33">
        <f>IF(A233="","",COUNTIFS('Run sessions'!$A$2:$A$401,A233,'Run sessions'!$B$2:$B$401,B233))</f>
        <v/>
      </c>
      <c r="I233" s="33">
        <f>IF(OR(A233="",D233=""),"",IFERROR(ROUND(D233*IF(INDEX(Programmes!$L$2:$L$10,MATCH(A233,Programmes!$A$2:$A$10,0))="",INDEX(Programmes!$K$2:$K$10,MATCH(A233,Programmes!$A$2:$A$10,0)),INDEX(Programmes!$L$2:$L$10,MATCH(A233,Programmes!$A$2:$A$10,0))),1),""))</f>
        <v/>
      </c>
      <c r="J233" s="33">
        <f>IF(I233="","",IF(LOWER(E233)="auto",ROUND(I233*Rules!$C$8,1),IF(RIGHT(E233,1)="%",ROUND(I233*VALUE(LEFT(E233,LEN(E233)-1))/100,1),IF(RIGHT(LOWER(E233),2)="km",VALUE(LEFT(E233,LEN(E233)-2)),IF(LOWER(E233)="race","race",E233)))))</f>
        <v/>
      </c>
    </row>
    <row r="234" ht="15" customHeight="1" s="21">
      <c r="A234" s="32" t="n"/>
      <c r="B234" s="32" t="n"/>
      <c r="C234" s="32" t="n"/>
      <c r="D234" s="35" t="n"/>
      <c r="E234" s="32" t="n"/>
      <c r="F234" s="32" t="n"/>
      <c r="G234" s="32" t="n"/>
      <c r="H234" s="33">
        <f>IF(A234="","",COUNTIFS('Run sessions'!$A$2:$A$401,A234,'Run sessions'!$B$2:$B$401,B234))</f>
        <v/>
      </c>
      <c r="I234" s="33">
        <f>IF(OR(A234="",D234=""),"",IFERROR(ROUND(D234*IF(INDEX(Programmes!$L$2:$L$10,MATCH(A234,Programmes!$A$2:$A$10,0))="",INDEX(Programmes!$K$2:$K$10,MATCH(A234,Programmes!$A$2:$A$10,0)),INDEX(Programmes!$L$2:$L$10,MATCH(A234,Programmes!$A$2:$A$10,0))),1),""))</f>
        <v/>
      </c>
      <c r="J234" s="33">
        <f>IF(I234="","",IF(LOWER(E234)="auto",ROUND(I234*Rules!$C$8,1),IF(RIGHT(E234,1)="%",ROUND(I234*VALUE(LEFT(E234,LEN(E234)-1))/100,1),IF(RIGHT(LOWER(E234),2)="km",VALUE(LEFT(E234,LEN(E234)-2)),IF(LOWER(E234)="race","race",E234)))))</f>
        <v/>
      </c>
    </row>
    <row r="235" ht="15" customHeight="1" s="21">
      <c r="A235" s="32" t="n"/>
      <c r="B235" s="32" t="n"/>
      <c r="C235" s="32" t="n"/>
      <c r="D235" s="35" t="n"/>
      <c r="E235" s="32" t="n"/>
      <c r="F235" s="32" t="n"/>
      <c r="G235" s="32" t="n"/>
      <c r="H235" s="33">
        <f>IF(A235="","",COUNTIFS('Run sessions'!$A$2:$A$401,A235,'Run sessions'!$B$2:$B$401,B235))</f>
        <v/>
      </c>
      <c r="I235" s="33">
        <f>IF(OR(A235="",D235=""),"",IFERROR(ROUND(D235*IF(INDEX(Programmes!$L$2:$L$10,MATCH(A235,Programmes!$A$2:$A$10,0))="",INDEX(Programmes!$K$2:$K$10,MATCH(A235,Programmes!$A$2:$A$10,0)),INDEX(Programmes!$L$2:$L$10,MATCH(A235,Programmes!$A$2:$A$10,0))),1),""))</f>
        <v/>
      </c>
      <c r="J235" s="33">
        <f>IF(I235="","",IF(LOWER(E235)="auto",ROUND(I235*Rules!$C$8,1),IF(RIGHT(E235,1)="%",ROUND(I235*VALUE(LEFT(E235,LEN(E235)-1))/100,1),IF(RIGHT(LOWER(E235),2)="km",VALUE(LEFT(E235,LEN(E235)-2)),IF(LOWER(E235)="race","race",E235)))))</f>
        <v/>
      </c>
    </row>
    <row r="236" ht="15" customHeight="1" s="21">
      <c r="A236" s="32" t="n"/>
      <c r="B236" s="32" t="n"/>
      <c r="C236" s="32" t="n"/>
      <c r="D236" s="35" t="n"/>
      <c r="E236" s="32" t="n"/>
      <c r="F236" s="32" t="n"/>
      <c r="G236" s="32" t="n"/>
      <c r="H236" s="33">
        <f>IF(A236="","",COUNTIFS('Run sessions'!$A$2:$A$401,A236,'Run sessions'!$B$2:$B$401,B236))</f>
        <v/>
      </c>
      <c r="I236" s="33">
        <f>IF(OR(A236="",D236=""),"",IFERROR(ROUND(D236*IF(INDEX(Programmes!$L$2:$L$10,MATCH(A236,Programmes!$A$2:$A$10,0))="",INDEX(Programmes!$K$2:$K$10,MATCH(A236,Programmes!$A$2:$A$10,0)),INDEX(Programmes!$L$2:$L$10,MATCH(A236,Programmes!$A$2:$A$10,0))),1),""))</f>
        <v/>
      </c>
      <c r="J236" s="33">
        <f>IF(I236="","",IF(LOWER(E236)="auto",ROUND(I236*Rules!$C$8,1),IF(RIGHT(E236,1)="%",ROUND(I236*VALUE(LEFT(E236,LEN(E236)-1))/100,1),IF(RIGHT(LOWER(E236),2)="km",VALUE(LEFT(E236,LEN(E236)-2)),IF(LOWER(E236)="race","race",E236)))))</f>
        <v/>
      </c>
    </row>
    <row r="237" ht="15" customHeight="1" s="21">
      <c r="A237" s="32" t="n"/>
      <c r="B237" s="32" t="n"/>
      <c r="C237" s="32" t="n"/>
      <c r="D237" s="35" t="n"/>
      <c r="E237" s="32" t="n"/>
      <c r="F237" s="32" t="n"/>
      <c r="G237" s="32" t="n"/>
      <c r="H237" s="33">
        <f>IF(A237="","",COUNTIFS('Run sessions'!$A$2:$A$401,A237,'Run sessions'!$B$2:$B$401,B237))</f>
        <v/>
      </c>
      <c r="I237" s="33">
        <f>IF(OR(A237="",D237=""),"",IFERROR(ROUND(D237*IF(INDEX(Programmes!$L$2:$L$10,MATCH(A237,Programmes!$A$2:$A$10,0))="",INDEX(Programmes!$K$2:$K$10,MATCH(A237,Programmes!$A$2:$A$10,0)),INDEX(Programmes!$L$2:$L$10,MATCH(A237,Programmes!$A$2:$A$10,0))),1),""))</f>
        <v/>
      </c>
      <c r="J237" s="33">
        <f>IF(I237="","",IF(LOWER(E237)="auto",ROUND(I237*Rules!$C$8,1),IF(RIGHT(E237,1)="%",ROUND(I237*VALUE(LEFT(E237,LEN(E237)-1))/100,1),IF(RIGHT(LOWER(E237),2)="km",VALUE(LEFT(E237,LEN(E237)-2)),IF(LOWER(E237)="race","race",E237)))))</f>
        <v/>
      </c>
    </row>
    <row r="238" ht="15" customHeight="1" s="21">
      <c r="A238" s="32" t="n"/>
      <c r="B238" s="32" t="n"/>
      <c r="C238" s="32" t="n"/>
      <c r="D238" s="35" t="n"/>
      <c r="E238" s="32" t="n"/>
      <c r="F238" s="32" t="n"/>
      <c r="G238" s="32" t="n"/>
      <c r="H238" s="33">
        <f>IF(A238="","",COUNTIFS('Run sessions'!$A$2:$A$401,A238,'Run sessions'!$B$2:$B$401,B238))</f>
        <v/>
      </c>
      <c r="I238" s="33">
        <f>IF(OR(A238="",D238=""),"",IFERROR(ROUND(D238*IF(INDEX(Programmes!$L$2:$L$10,MATCH(A238,Programmes!$A$2:$A$10,0))="",INDEX(Programmes!$K$2:$K$10,MATCH(A238,Programmes!$A$2:$A$10,0)),INDEX(Programmes!$L$2:$L$10,MATCH(A238,Programmes!$A$2:$A$10,0))),1),""))</f>
        <v/>
      </c>
      <c r="J238" s="33">
        <f>IF(I238="","",IF(LOWER(E238)="auto",ROUND(I238*Rules!$C$8,1),IF(RIGHT(E238,1)="%",ROUND(I238*VALUE(LEFT(E238,LEN(E238)-1))/100,1),IF(RIGHT(LOWER(E238),2)="km",VALUE(LEFT(E238,LEN(E238)-2)),IF(LOWER(E238)="race","race",E238)))))</f>
        <v/>
      </c>
    </row>
    <row r="239" ht="15" customHeight="1" s="21">
      <c r="A239" s="32" t="n"/>
      <c r="B239" s="32" t="n"/>
      <c r="C239" s="32" t="n"/>
      <c r="D239" s="35" t="n"/>
      <c r="E239" s="32" t="n"/>
      <c r="F239" s="32" t="n"/>
      <c r="G239" s="32" t="n"/>
      <c r="H239" s="33">
        <f>IF(A239="","",COUNTIFS('Run sessions'!$A$2:$A$401,A239,'Run sessions'!$B$2:$B$401,B239))</f>
        <v/>
      </c>
      <c r="I239" s="33">
        <f>IF(OR(A239="",D239=""),"",IFERROR(ROUND(D239*IF(INDEX(Programmes!$L$2:$L$10,MATCH(A239,Programmes!$A$2:$A$10,0))="",INDEX(Programmes!$K$2:$K$10,MATCH(A239,Programmes!$A$2:$A$10,0)),INDEX(Programmes!$L$2:$L$10,MATCH(A239,Programmes!$A$2:$A$10,0))),1),""))</f>
        <v/>
      </c>
      <c r="J239" s="33">
        <f>IF(I239="","",IF(LOWER(E239)="auto",ROUND(I239*Rules!$C$8,1),IF(RIGHT(E239,1)="%",ROUND(I239*VALUE(LEFT(E239,LEN(E239)-1))/100,1),IF(RIGHT(LOWER(E239),2)="km",VALUE(LEFT(E239,LEN(E239)-2)),IF(LOWER(E239)="race","race",E239)))))</f>
        <v/>
      </c>
    </row>
    <row r="240" ht="15" customHeight="1" s="21">
      <c r="A240" s="32" t="n"/>
      <c r="B240" s="32" t="n"/>
      <c r="C240" s="32" t="n"/>
      <c r="D240" s="35" t="n"/>
      <c r="E240" s="32" t="n"/>
      <c r="F240" s="32" t="n"/>
      <c r="G240" s="32" t="n"/>
      <c r="H240" s="33">
        <f>IF(A240="","",COUNTIFS('Run sessions'!$A$2:$A$401,A240,'Run sessions'!$B$2:$B$401,B240))</f>
        <v/>
      </c>
      <c r="I240" s="33">
        <f>IF(OR(A240="",D240=""),"",IFERROR(ROUND(D240*IF(INDEX(Programmes!$L$2:$L$10,MATCH(A240,Programmes!$A$2:$A$10,0))="",INDEX(Programmes!$K$2:$K$10,MATCH(A240,Programmes!$A$2:$A$10,0)),INDEX(Programmes!$L$2:$L$10,MATCH(A240,Programmes!$A$2:$A$10,0))),1),""))</f>
        <v/>
      </c>
      <c r="J240" s="33">
        <f>IF(I240="","",IF(LOWER(E240)="auto",ROUND(I240*Rules!$C$8,1),IF(RIGHT(E240,1)="%",ROUND(I240*VALUE(LEFT(E240,LEN(E240)-1))/100,1),IF(RIGHT(LOWER(E240),2)="km",VALUE(LEFT(E240,LEN(E240)-2)),IF(LOWER(E240)="race","race",E240)))))</f>
        <v/>
      </c>
    </row>
    <row r="241" ht="15" customHeight="1" s="21">
      <c r="A241" s="32" t="n"/>
      <c r="B241" s="32" t="n"/>
      <c r="C241" s="32" t="n"/>
      <c r="D241" s="35" t="n"/>
      <c r="E241" s="32" t="n"/>
      <c r="F241" s="32" t="n"/>
      <c r="G241" s="32" t="n"/>
      <c r="H241" s="33">
        <f>IF(A241="","",COUNTIFS('Run sessions'!$A$2:$A$401,A241,'Run sessions'!$B$2:$B$401,B241))</f>
        <v/>
      </c>
      <c r="I241" s="33">
        <f>IF(OR(A241="",D241=""),"",IFERROR(ROUND(D241*IF(INDEX(Programmes!$L$2:$L$10,MATCH(A241,Programmes!$A$2:$A$10,0))="",INDEX(Programmes!$K$2:$K$10,MATCH(A241,Programmes!$A$2:$A$10,0)),INDEX(Programmes!$L$2:$L$10,MATCH(A241,Programmes!$A$2:$A$10,0))),1),""))</f>
        <v/>
      </c>
      <c r="J241" s="33">
        <f>IF(I241="","",IF(LOWER(E241)="auto",ROUND(I241*Rules!$C$8,1),IF(RIGHT(E241,1)="%",ROUND(I241*VALUE(LEFT(E241,LEN(E241)-1))/100,1),IF(RIGHT(LOWER(E241),2)="km",VALUE(LEFT(E241,LEN(E241)-2)),IF(LOWER(E241)="race","race",E241)))))</f>
        <v/>
      </c>
    </row>
    <row r="242" ht="15" customHeight="1" s="21">
      <c r="A242" s="32" t="n"/>
      <c r="B242" s="32" t="n"/>
      <c r="C242" s="32" t="n"/>
      <c r="D242" s="35" t="n"/>
      <c r="E242" s="32" t="n"/>
      <c r="F242" s="32" t="n"/>
      <c r="G242" s="32" t="n"/>
      <c r="H242" s="33">
        <f>IF(A242="","",COUNTIFS('Run sessions'!$A$2:$A$401,A242,'Run sessions'!$B$2:$B$401,B242))</f>
        <v/>
      </c>
      <c r="I242" s="33">
        <f>IF(OR(A242="",D242=""),"",IFERROR(ROUND(D242*IF(INDEX(Programmes!$L$2:$L$10,MATCH(A242,Programmes!$A$2:$A$10,0))="",INDEX(Programmes!$K$2:$K$10,MATCH(A242,Programmes!$A$2:$A$10,0)),INDEX(Programmes!$L$2:$L$10,MATCH(A242,Programmes!$A$2:$A$10,0))),1),""))</f>
        <v/>
      </c>
      <c r="J242" s="33">
        <f>IF(I242="","",IF(LOWER(E242)="auto",ROUND(I242*Rules!$C$8,1),IF(RIGHT(E242,1)="%",ROUND(I242*VALUE(LEFT(E242,LEN(E242)-1))/100,1),IF(RIGHT(LOWER(E242),2)="km",VALUE(LEFT(E242,LEN(E242)-2)),IF(LOWER(E242)="race","race",E242)))))</f>
        <v/>
      </c>
    </row>
    <row r="243" ht="15" customHeight="1" s="21">
      <c r="A243" s="32" t="n"/>
      <c r="B243" s="32" t="n"/>
      <c r="C243" s="32" t="n"/>
      <c r="D243" s="35" t="n"/>
      <c r="E243" s="32" t="n"/>
      <c r="F243" s="32" t="n"/>
      <c r="G243" s="32" t="n"/>
      <c r="H243" s="33">
        <f>IF(A243="","",COUNTIFS('Run sessions'!$A$2:$A$401,A243,'Run sessions'!$B$2:$B$401,B243))</f>
        <v/>
      </c>
      <c r="I243" s="33">
        <f>IF(OR(A243="",D243=""),"",IFERROR(ROUND(D243*IF(INDEX(Programmes!$L$2:$L$10,MATCH(A243,Programmes!$A$2:$A$10,0))="",INDEX(Programmes!$K$2:$K$10,MATCH(A243,Programmes!$A$2:$A$10,0)),INDEX(Programmes!$L$2:$L$10,MATCH(A243,Programmes!$A$2:$A$10,0))),1),""))</f>
        <v/>
      </c>
      <c r="J243" s="33">
        <f>IF(I243="","",IF(LOWER(E243)="auto",ROUND(I243*Rules!$C$8,1),IF(RIGHT(E243,1)="%",ROUND(I243*VALUE(LEFT(E243,LEN(E243)-1))/100,1),IF(RIGHT(LOWER(E243),2)="km",VALUE(LEFT(E243,LEN(E243)-2)),IF(LOWER(E243)="race","race",E243)))))</f>
        <v/>
      </c>
    </row>
    <row r="244" ht="15" customHeight="1" s="21">
      <c r="A244" s="32" t="n"/>
      <c r="B244" s="32" t="n"/>
      <c r="C244" s="32" t="n"/>
      <c r="D244" s="35" t="n"/>
      <c r="E244" s="32" t="n"/>
      <c r="F244" s="32" t="n"/>
      <c r="G244" s="32" t="n"/>
      <c r="H244" s="33">
        <f>IF(A244="","",COUNTIFS('Run sessions'!$A$2:$A$401,A244,'Run sessions'!$B$2:$B$401,B244))</f>
        <v/>
      </c>
      <c r="I244" s="33">
        <f>IF(OR(A244="",D244=""),"",IFERROR(ROUND(D244*IF(INDEX(Programmes!$L$2:$L$10,MATCH(A244,Programmes!$A$2:$A$10,0))="",INDEX(Programmes!$K$2:$K$10,MATCH(A244,Programmes!$A$2:$A$10,0)),INDEX(Programmes!$L$2:$L$10,MATCH(A244,Programmes!$A$2:$A$10,0))),1),""))</f>
        <v/>
      </c>
      <c r="J244" s="33">
        <f>IF(I244="","",IF(LOWER(E244)="auto",ROUND(I244*Rules!$C$8,1),IF(RIGHT(E244,1)="%",ROUND(I244*VALUE(LEFT(E244,LEN(E244)-1))/100,1),IF(RIGHT(LOWER(E244),2)="km",VALUE(LEFT(E244,LEN(E244)-2)),IF(LOWER(E244)="race","race",E244)))))</f>
        <v/>
      </c>
    </row>
    <row r="245" ht="15" customHeight="1" s="21">
      <c r="A245" s="32" t="n"/>
      <c r="B245" s="32" t="n"/>
      <c r="C245" s="32" t="n"/>
      <c r="D245" s="35" t="n"/>
      <c r="E245" s="32" t="n"/>
      <c r="F245" s="32" t="n"/>
      <c r="G245" s="32" t="n"/>
      <c r="H245" s="33">
        <f>IF(A245="","",COUNTIFS('Run sessions'!$A$2:$A$401,A245,'Run sessions'!$B$2:$B$401,B245))</f>
        <v/>
      </c>
      <c r="I245" s="33">
        <f>IF(OR(A245="",D245=""),"",IFERROR(ROUND(D245*IF(INDEX(Programmes!$L$2:$L$10,MATCH(A245,Programmes!$A$2:$A$10,0))="",INDEX(Programmes!$K$2:$K$10,MATCH(A245,Programmes!$A$2:$A$10,0)),INDEX(Programmes!$L$2:$L$10,MATCH(A245,Programmes!$A$2:$A$10,0))),1),""))</f>
        <v/>
      </c>
      <c r="J245" s="33">
        <f>IF(I245="","",IF(LOWER(E245)="auto",ROUND(I245*Rules!$C$8,1),IF(RIGHT(E245,1)="%",ROUND(I245*VALUE(LEFT(E245,LEN(E245)-1))/100,1),IF(RIGHT(LOWER(E245),2)="km",VALUE(LEFT(E245,LEN(E245)-2)),IF(LOWER(E245)="race","race",E245)))))</f>
        <v/>
      </c>
    </row>
    <row r="246" ht="15" customHeight="1" s="21">
      <c r="A246" s="32" t="n"/>
      <c r="B246" s="32" t="n"/>
      <c r="C246" s="32" t="n"/>
      <c r="D246" s="35" t="n"/>
      <c r="E246" s="32" t="n"/>
      <c r="F246" s="32" t="n"/>
      <c r="G246" s="32" t="n"/>
      <c r="H246" s="33">
        <f>IF(A246="","",COUNTIFS('Run sessions'!$A$2:$A$401,A246,'Run sessions'!$B$2:$B$401,B246))</f>
        <v/>
      </c>
      <c r="I246" s="33">
        <f>IF(OR(A246="",D246=""),"",IFERROR(ROUND(D246*IF(INDEX(Programmes!$L$2:$L$10,MATCH(A246,Programmes!$A$2:$A$10,0))="",INDEX(Programmes!$K$2:$K$10,MATCH(A246,Programmes!$A$2:$A$10,0)),INDEX(Programmes!$L$2:$L$10,MATCH(A246,Programmes!$A$2:$A$10,0))),1),""))</f>
        <v/>
      </c>
      <c r="J246" s="33">
        <f>IF(I246="","",IF(LOWER(E246)="auto",ROUND(I246*Rules!$C$8,1),IF(RIGHT(E246,1)="%",ROUND(I246*VALUE(LEFT(E246,LEN(E246)-1))/100,1),IF(RIGHT(LOWER(E246),2)="km",VALUE(LEFT(E246,LEN(E246)-2)),IF(LOWER(E246)="race","race",E246)))))</f>
        <v/>
      </c>
    </row>
    <row r="247" ht="15" customHeight="1" s="21">
      <c r="A247" s="32" t="n"/>
      <c r="B247" s="32" t="n"/>
      <c r="C247" s="32" t="n"/>
      <c r="D247" s="35" t="n"/>
      <c r="E247" s="32" t="n"/>
      <c r="F247" s="32" t="n"/>
      <c r="G247" s="32" t="n"/>
      <c r="H247" s="33">
        <f>IF(A247="","",COUNTIFS('Run sessions'!$A$2:$A$401,A247,'Run sessions'!$B$2:$B$401,B247))</f>
        <v/>
      </c>
      <c r="I247" s="33">
        <f>IF(OR(A247="",D247=""),"",IFERROR(ROUND(D247*IF(INDEX(Programmes!$L$2:$L$10,MATCH(A247,Programmes!$A$2:$A$10,0))="",INDEX(Programmes!$K$2:$K$10,MATCH(A247,Programmes!$A$2:$A$10,0)),INDEX(Programmes!$L$2:$L$10,MATCH(A247,Programmes!$A$2:$A$10,0))),1),""))</f>
        <v/>
      </c>
      <c r="J247" s="33">
        <f>IF(I247="","",IF(LOWER(E247)="auto",ROUND(I247*Rules!$C$8,1),IF(RIGHT(E247,1)="%",ROUND(I247*VALUE(LEFT(E247,LEN(E247)-1))/100,1),IF(RIGHT(LOWER(E247),2)="km",VALUE(LEFT(E247,LEN(E247)-2)),IF(LOWER(E247)="race","race",E247)))))</f>
        <v/>
      </c>
    </row>
    <row r="248" ht="15" customHeight="1" s="21">
      <c r="A248" s="32" t="n"/>
      <c r="B248" s="32" t="n"/>
      <c r="C248" s="32" t="n"/>
      <c r="D248" s="35" t="n"/>
      <c r="E248" s="32" t="n"/>
      <c r="F248" s="32" t="n"/>
      <c r="G248" s="32" t="n"/>
      <c r="H248" s="33">
        <f>IF(A248="","",COUNTIFS('Run sessions'!$A$2:$A$401,A248,'Run sessions'!$B$2:$B$401,B248))</f>
        <v/>
      </c>
      <c r="I248" s="33">
        <f>IF(OR(A248="",D248=""),"",IFERROR(ROUND(D248*IF(INDEX(Programmes!$L$2:$L$10,MATCH(A248,Programmes!$A$2:$A$10,0))="",INDEX(Programmes!$K$2:$K$10,MATCH(A248,Programmes!$A$2:$A$10,0)),INDEX(Programmes!$L$2:$L$10,MATCH(A248,Programmes!$A$2:$A$10,0))),1),""))</f>
        <v/>
      </c>
      <c r="J248" s="33">
        <f>IF(I248="","",IF(LOWER(E248)="auto",ROUND(I248*Rules!$C$8,1),IF(RIGHT(E248,1)="%",ROUND(I248*VALUE(LEFT(E248,LEN(E248)-1))/100,1),IF(RIGHT(LOWER(E248),2)="km",VALUE(LEFT(E248,LEN(E248)-2)),IF(LOWER(E248)="race","race",E248)))))</f>
        <v/>
      </c>
    </row>
    <row r="249" ht="15" customHeight="1" s="21">
      <c r="A249" s="32" t="n"/>
      <c r="B249" s="32" t="n"/>
      <c r="C249" s="32" t="n"/>
      <c r="D249" s="35" t="n"/>
      <c r="E249" s="32" t="n"/>
      <c r="F249" s="32" t="n"/>
      <c r="G249" s="32" t="n"/>
      <c r="H249" s="33">
        <f>IF(A249="","",COUNTIFS('Run sessions'!$A$2:$A$401,A249,'Run sessions'!$B$2:$B$401,B249))</f>
        <v/>
      </c>
      <c r="I249" s="33">
        <f>IF(OR(A249="",D249=""),"",IFERROR(ROUND(D249*IF(INDEX(Programmes!$L$2:$L$10,MATCH(A249,Programmes!$A$2:$A$10,0))="",INDEX(Programmes!$K$2:$K$10,MATCH(A249,Programmes!$A$2:$A$10,0)),INDEX(Programmes!$L$2:$L$10,MATCH(A249,Programmes!$A$2:$A$10,0))),1),""))</f>
        <v/>
      </c>
      <c r="J249" s="33">
        <f>IF(I249="","",IF(LOWER(E249)="auto",ROUND(I249*Rules!$C$8,1),IF(RIGHT(E249,1)="%",ROUND(I249*VALUE(LEFT(E249,LEN(E249)-1))/100,1),IF(RIGHT(LOWER(E249),2)="km",VALUE(LEFT(E249,LEN(E249)-2)),IF(LOWER(E249)="race","race",E249)))))</f>
        <v/>
      </c>
    </row>
    <row r="250" ht="15" customHeight="1" s="21">
      <c r="A250" s="32" t="n"/>
      <c r="B250" s="32" t="n"/>
      <c r="C250" s="32" t="n"/>
      <c r="D250" s="35" t="n"/>
      <c r="E250" s="32" t="n"/>
      <c r="F250" s="32" t="n"/>
      <c r="G250" s="32" t="n"/>
      <c r="H250" s="33">
        <f>IF(A250="","",COUNTIFS('Run sessions'!$A$2:$A$401,A250,'Run sessions'!$B$2:$B$401,B250))</f>
        <v/>
      </c>
      <c r="I250" s="33">
        <f>IF(OR(A250="",D250=""),"",IFERROR(ROUND(D250*IF(INDEX(Programmes!$L$2:$L$10,MATCH(A250,Programmes!$A$2:$A$10,0))="",INDEX(Programmes!$K$2:$K$10,MATCH(A250,Programmes!$A$2:$A$10,0)),INDEX(Programmes!$L$2:$L$10,MATCH(A250,Programmes!$A$2:$A$10,0))),1),""))</f>
        <v/>
      </c>
      <c r="J250" s="33">
        <f>IF(I250="","",IF(LOWER(E250)="auto",ROUND(I250*Rules!$C$8,1),IF(RIGHT(E250,1)="%",ROUND(I250*VALUE(LEFT(E250,LEN(E250)-1))/100,1),IF(RIGHT(LOWER(E250),2)="km",VALUE(LEFT(E250,LEN(E250)-2)),IF(LOWER(E250)="race","race",E250)))))</f>
        <v/>
      </c>
    </row>
    <row r="251" ht="15" customHeight="1" s="21">
      <c r="A251" s="32" t="n"/>
      <c r="B251" s="32" t="n"/>
      <c r="C251" s="32" t="n"/>
      <c r="D251" s="35" t="n"/>
      <c r="E251" s="32" t="n"/>
      <c r="F251" s="32" t="n"/>
      <c r="G251" s="32" t="n"/>
      <c r="H251" s="33">
        <f>IF(A251="","",COUNTIFS('Run sessions'!$A$2:$A$401,A251,'Run sessions'!$B$2:$B$401,B251))</f>
        <v/>
      </c>
      <c r="I251" s="33">
        <f>IF(OR(A251="",D251=""),"",IFERROR(ROUND(D251*IF(INDEX(Programmes!$L$2:$L$10,MATCH(A251,Programmes!$A$2:$A$10,0))="",INDEX(Programmes!$K$2:$K$10,MATCH(A251,Programmes!$A$2:$A$10,0)),INDEX(Programmes!$L$2:$L$10,MATCH(A251,Programmes!$A$2:$A$10,0))),1),""))</f>
        <v/>
      </c>
      <c r="J251" s="33">
        <f>IF(I251="","",IF(LOWER(E251)="auto",ROUND(I251*Rules!$C$8,1),IF(RIGHT(E251,1)="%",ROUND(I251*VALUE(LEFT(E251,LEN(E251)-1))/100,1),IF(RIGHT(LOWER(E251),2)="km",VALUE(LEFT(E251,LEN(E251)-2)),IF(LOWER(E251)="race","race",E251)))))</f>
        <v/>
      </c>
    </row>
    <row r="252" ht="15" customHeight="1" s="21">
      <c r="A252" s="32" t="n"/>
      <c r="B252" s="32" t="n"/>
      <c r="C252" s="32" t="n"/>
      <c r="D252" s="35" t="n"/>
      <c r="E252" s="32" t="n"/>
      <c r="F252" s="32" t="n"/>
      <c r="G252" s="32" t="n"/>
      <c r="H252" s="33">
        <f>IF(A252="","",COUNTIFS('Run sessions'!$A$2:$A$401,A252,'Run sessions'!$B$2:$B$401,B252))</f>
        <v/>
      </c>
      <c r="I252" s="33">
        <f>IF(OR(A252="",D252=""),"",IFERROR(ROUND(D252*IF(INDEX(Programmes!$L$2:$L$10,MATCH(A252,Programmes!$A$2:$A$10,0))="",INDEX(Programmes!$K$2:$K$10,MATCH(A252,Programmes!$A$2:$A$10,0)),INDEX(Programmes!$L$2:$L$10,MATCH(A252,Programmes!$A$2:$A$10,0))),1),""))</f>
        <v/>
      </c>
      <c r="J252" s="33">
        <f>IF(I252="","",IF(LOWER(E252)="auto",ROUND(I252*Rules!$C$8,1),IF(RIGHT(E252,1)="%",ROUND(I252*VALUE(LEFT(E252,LEN(E252)-1))/100,1),IF(RIGHT(LOWER(E252),2)="km",VALUE(LEFT(E252,LEN(E252)-2)),IF(LOWER(E252)="race","race",E252)))))</f>
        <v/>
      </c>
    </row>
    <row r="253" ht="15" customHeight="1" s="21">
      <c r="A253" s="32" t="n"/>
      <c r="B253" s="32" t="n"/>
      <c r="C253" s="32" t="n"/>
      <c r="D253" s="35" t="n"/>
      <c r="E253" s="32" t="n"/>
      <c r="F253" s="32" t="n"/>
      <c r="G253" s="32" t="n"/>
      <c r="H253" s="33">
        <f>IF(A253="","",COUNTIFS('Run sessions'!$A$2:$A$401,A253,'Run sessions'!$B$2:$B$401,B253))</f>
        <v/>
      </c>
      <c r="I253" s="33">
        <f>IF(OR(A253="",D253=""),"",IFERROR(ROUND(D253*IF(INDEX(Programmes!$L$2:$L$10,MATCH(A253,Programmes!$A$2:$A$10,0))="",INDEX(Programmes!$K$2:$K$10,MATCH(A253,Programmes!$A$2:$A$10,0)),INDEX(Programmes!$L$2:$L$10,MATCH(A253,Programmes!$A$2:$A$10,0))),1),""))</f>
        <v/>
      </c>
      <c r="J253" s="33">
        <f>IF(I253="","",IF(LOWER(E253)="auto",ROUND(I253*Rules!$C$8,1),IF(RIGHT(E253,1)="%",ROUND(I253*VALUE(LEFT(E253,LEN(E253)-1))/100,1),IF(RIGHT(LOWER(E253),2)="km",VALUE(LEFT(E253,LEN(E253)-2)),IF(LOWER(E253)="race","race",E253)))))</f>
        <v/>
      </c>
    </row>
    <row r="254" ht="15" customHeight="1" s="21">
      <c r="A254" s="32" t="n"/>
      <c r="B254" s="32" t="n"/>
      <c r="C254" s="32" t="n"/>
      <c r="D254" s="35" t="n"/>
      <c r="E254" s="32" t="n"/>
      <c r="F254" s="32" t="n"/>
      <c r="G254" s="32" t="n"/>
      <c r="H254" s="33">
        <f>IF(A254="","",COUNTIFS('Run sessions'!$A$2:$A$401,A254,'Run sessions'!$B$2:$B$401,B254))</f>
        <v/>
      </c>
      <c r="I254" s="33">
        <f>IF(OR(A254="",D254=""),"",IFERROR(ROUND(D254*IF(INDEX(Programmes!$L$2:$L$10,MATCH(A254,Programmes!$A$2:$A$10,0))="",INDEX(Programmes!$K$2:$K$10,MATCH(A254,Programmes!$A$2:$A$10,0)),INDEX(Programmes!$L$2:$L$10,MATCH(A254,Programmes!$A$2:$A$10,0))),1),""))</f>
        <v/>
      </c>
      <c r="J254" s="33">
        <f>IF(I254="","",IF(LOWER(E254)="auto",ROUND(I254*Rules!$C$8,1),IF(RIGHT(E254,1)="%",ROUND(I254*VALUE(LEFT(E254,LEN(E254)-1))/100,1),IF(RIGHT(LOWER(E254),2)="km",VALUE(LEFT(E254,LEN(E254)-2)),IF(LOWER(E254)="race","race",E254)))))</f>
        <v/>
      </c>
    </row>
    <row r="255" ht="15" customHeight="1" s="21">
      <c r="A255" s="32" t="n"/>
      <c r="B255" s="32" t="n"/>
      <c r="C255" s="32" t="n"/>
      <c r="D255" s="35" t="n"/>
      <c r="E255" s="32" t="n"/>
      <c r="F255" s="32" t="n"/>
      <c r="G255" s="32" t="n"/>
      <c r="H255" s="33">
        <f>IF(A255="","",COUNTIFS('Run sessions'!$A$2:$A$401,A255,'Run sessions'!$B$2:$B$401,B255))</f>
        <v/>
      </c>
      <c r="I255" s="33">
        <f>IF(OR(A255="",D255=""),"",IFERROR(ROUND(D255*IF(INDEX(Programmes!$L$2:$L$10,MATCH(A255,Programmes!$A$2:$A$10,0))="",INDEX(Programmes!$K$2:$K$10,MATCH(A255,Programmes!$A$2:$A$10,0)),INDEX(Programmes!$L$2:$L$10,MATCH(A255,Programmes!$A$2:$A$10,0))),1),""))</f>
        <v/>
      </c>
      <c r="J255" s="33">
        <f>IF(I255="","",IF(LOWER(E255)="auto",ROUND(I255*Rules!$C$8,1),IF(RIGHT(E255,1)="%",ROUND(I255*VALUE(LEFT(E255,LEN(E255)-1))/100,1),IF(RIGHT(LOWER(E255),2)="km",VALUE(LEFT(E255,LEN(E255)-2)),IF(LOWER(E255)="race","race",E255)))))</f>
        <v/>
      </c>
    </row>
    <row r="256" ht="15" customHeight="1" s="21">
      <c r="A256" s="32" t="n"/>
      <c r="B256" s="32" t="n"/>
      <c r="C256" s="32" t="n"/>
      <c r="D256" s="35" t="n"/>
      <c r="E256" s="32" t="n"/>
      <c r="F256" s="32" t="n"/>
      <c r="G256" s="32" t="n"/>
      <c r="H256" s="33">
        <f>IF(A256="","",COUNTIFS('Run sessions'!$A$2:$A$401,A256,'Run sessions'!$B$2:$B$401,B256))</f>
        <v/>
      </c>
      <c r="I256" s="33">
        <f>IF(OR(A256="",D256=""),"",IFERROR(ROUND(D256*IF(INDEX(Programmes!$L$2:$L$10,MATCH(A256,Programmes!$A$2:$A$10,0))="",INDEX(Programmes!$K$2:$K$10,MATCH(A256,Programmes!$A$2:$A$10,0)),INDEX(Programmes!$L$2:$L$10,MATCH(A256,Programmes!$A$2:$A$10,0))),1),""))</f>
        <v/>
      </c>
      <c r="J256" s="33">
        <f>IF(I256="","",IF(LOWER(E256)="auto",ROUND(I256*Rules!$C$8,1),IF(RIGHT(E256,1)="%",ROUND(I256*VALUE(LEFT(E256,LEN(E256)-1))/100,1),IF(RIGHT(LOWER(E256),2)="km",VALUE(LEFT(E256,LEN(E256)-2)),IF(LOWER(E256)="race","race",E256)))))</f>
        <v/>
      </c>
    </row>
    <row r="257" ht="15" customHeight="1" s="21">
      <c r="A257" s="32" t="n"/>
      <c r="B257" s="32" t="n"/>
      <c r="C257" s="32" t="n"/>
      <c r="D257" s="35" t="n"/>
      <c r="E257" s="32" t="n"/>
      <c r="F257" s="32" t="n"/>
      <c r="G257" s="32" t="n"/>
      <c r="H257" s="33">
        <f>IF(A257="","",COUNTIFS('Run sessions'!$A$2:$A$401,A257,'Run sessions'!$B$2:$B$401,B257))</f>
        <v/>
      </c>
      <c r="I257" s="33">
        <f>IF(OR(A257="",D257=""),"",IFERROR(ROUND(D257*IF(INDEX(Programmes!$L$2:$L$10,MATCH(A257,Programmes!$A$2:$A$10,0))="",INDEX(Programmes!$K$2:$K$10,MATCH(A257,Programmes!$A$2:$A$10,0)),INDEX(Programmes!$L$2:$L$10,MATCH(A257,Programmes!$A$2:$A$10,0))),1),""))</f>
        <v/>
      </c>
      <c r="J257" s="33">
        <f>IF(I257="","",IF(LOWER(E257)="auto",ROUND(I257*Rules!$C$8,1),IF(RIGHT(E257,1)="%",ROUND(I257*VALUE(LEFT(E257,LEN(E257)-1))/100,1),IF(RIGHT(LOWER(E257),2)="km",VALUE(LEFT(E257,LEN(E257)-2)),IF(LOWER(E257)="race","race",E257)))))</f>
        <v/>
      </c>
    </row>
    <row r="258" ht="15" customHeight="1" s="21">
      <c r="A258" s="32" t="n"/>
      <c r="B258" s="32" t="n"/>
      <c r="C258" s="32" t="n"/>
      <c r="D258" s="35" t="n"/>
      <c r="E258" s="32" t="n"/>
      <c r="F258" s="32" t="n"/>
      <c r="G258" s="32" t="n"/>
      <c r="H258" s="33">
        <f>IF(A258="","",COUNTIFS('Run sessions'!$A$2:$A$401,A258,'Run sessions'!$B$2:$B$401,B258))</f>
        <v/>
      </c>
      <c r="I258" s="33">
        <f>IF(OR(A258="",D258=""),"",IFERROR(ROUND(D258*IF(INDEX(Programmes!$L$2:$L$10,MATCH(A258,Programmes!$A$2:$A$10,0))="",INDEX(Programmes!$K$2:$K$10,MATCH(A258,Programmes!$A$2:$A$10,0)),INDEX(Programmes!$L$2:$L$10,MATCH(A258,Programmes!$A$2:$A$10,0))),1),""))</f>
        <v/>
      </c>
      <c r="J258" s="33">
        <f>IF(I258="","",IF(LOWER(E258)="auto",ROUND(I258*Rules!$C$8,1),IF(RIGHT(E258,1)="%",ROUND(I258*VALUE(LEFT(E258,LEN(E258)-1))/100,1),IF(RIGHT(LOWER(E258),2)="km",VALUE(LEFT(E258,LEN(E258)-2)),IF(LOWER(E258)="race","race",E258)))))</f>
        <v/>
      </c>
    </row>
    <row r="259" ht="15" customHeight="1" s="21">
      <c r="A259" s="32" t="n"/>
      <c r="B259" s="32" t="n"/>
      <c r="C259" s="32" t="n"/>
      <c r="D259" s="35" t="n"/>
      <c r="E259" s="32" t="n"/>
      <c r="F259" s="32" t="n"/>
      <c r="G259" s="32" t="n"/>
      <c r="H259" s="33">
        <f>IF(A259="","",COUNTIFS('Run sessions'!$A$2:$A$401,A259,'Run sessions'!$B$2:$B$401,B259))</f>
        <v/>
      </c>
      <c r="I259" s="33">
        <f>IF(OR(A259="",D259=""),"",IFERROR(ROUND(D259*IF(INDEX(Programmes!$L$2:$L$10,MATCH(A259,Programmes!$A$2:$A$10,0))="",INDEX(Programmes!$K$2:$K$10,MATCH(A259,Programmes!$A$2:$A$10,0)),INDEX(Programmes!$L$2:$L$10,MATCH(A259,Programmes!$A$2:$A$10,0))),1),""))</f>
        <v/>
      </c>
      <c r="J259" s="33">
        <f>IF(I259="","",IF(LOWER(E259)="auto",ROUND(I259*Rules!$C$8,1),IF(RIGHT(E259,1)="%",ROUND(I259*VALUE(LEFT(E259,LEN(E259)-1))/100,1),IF(RIGHT(LOWER(E259),2)="km",VALUE(LEFT(E259,LEN(E259)-2)),IF(LOWER(E259)="race","race",E259)))))</f>
        <v/>
      </c>
    </row>
    <row r="260" ht="15" customHeight="1" s="21">
      <c r="A260" s="32" t="n"/>
      <c r="B260" s="32" t="n"/>
      <c r="C260" s="32" t="n"/>
      <c r="D260" s="35" t="n"/>
      <c r="E260" s="32" t="n"/>
      <c r="F260" s="32" t="n"/>
      <c r="G260" s="32" t="n"/>
      <c r="H260" s="33">
        <f>IF(A260="","",COUNTIFS('Run sessions'!$A$2:$A$401,A260,'Run sessions'!$B$2:$B$401,B260))</f>
        <v/>
      </c>
      <c r="I260" s="33">
        <f>IF(OR(A260="",D260=""),"",IFERROR(ROUND(D260*IF(INDEX(Programmes!$L$2:$L$10,MATCH(A260,Programmes!$A$2:$A$10,0))="",INDEX(Programmes!$K$2:$K$10,MATCH(A260,Programmes!$A$2:$A$10,0)),INDEX(Programmes!$L$2:$L$10,MATCH(A260,Programmes!$A$2:$A$10,0))),1),""))</f>
        <v/>
      </c>
      <c r="J260" s="33">
        <f>IF(I260="","",IF(LOWER(E260)="auto",ROUND(I260*Rules!$C$8,1),IF(RIGHT(E260,1)="%",ROUND(I260*VALUE(LEFT(E260,LEN(E260)-1))/100,1),IF(RIGHT(LOWER(E260),2)="km",VALUE(LEFT(E260,LEN(E260)-2)),IF(LOWER(E260)="race","race",E260)))))</f>
        <v/>
      </c>
    </row>
    <row r="261" ht="15" customHeight="1" s="21">
      <c r="A261" s="32" t="n"/>
      <c r="B261" s="32" t="n"/>
      <c r="C261" s="32" t="n"/>
      <c r="D261" s="35" t="n"/>
      <c r="E261" s="32" t="n"/>
      <c r="F261" s="32" t="n"/>
      <c r="G261" s="32" t="n"/>
      <c r="H261" s="33">
        <f>IF(A261="","",COUNTIFS('Run sessions'!$A$2:$A$401,A261,'Run sessions'!$B$2:$B$401,B261))</f>
        <v/>
      </c>
      <c r="I261" s="33">
        <f>IF(OR(A261="",D261=""),"",IFERROR(ROUND(D261*IF(INDEX(Programmes!$L$2:$L$10,MATCH(A261,Programmes!$A$2:$A$10,0))="",INDEX(Programmes!$K$2:$K$10,MATCH(A261,Programmes!$A$2:$A$10,0)),INDEX(Programmes!$L$2:$L$10,MATCH(A261,Programmes!$A$2:$A$10,0))),1),""))</f>
        <v/>
      </c>
      <c r="J261" s="33">
        <f>IF(I261="","",IF(LOWER(E261)="auto",ROUND(I261*Rules!$C$8,1),IF(RIGHT(E261,1)="%",ROUND(I261*VALUE(LEFT(E261,LEN(E261)-1))/100,1),IF(RIGHT(LOWER(E261),2)="km",VALUE(LEFT(E261,LEN(E261)-2)),IF(LOWER(E261)="race","race",E261)))))</f>
        <v/>
      </c>
    </row>
    <row r="262" ht="15" customHeight="1" s="21">
      <c r="A262" s="32" t="n"/>
      <c r="B262" s="32" t="n"/>
      <c r="C262" s="32" t="n"/>
      <c r="D262" s="35" t="n"/>
      <c r="E262" s="32" t="n"/>
      <c r="F262" s="32" t="n"/>
      <c r="G262" s="32" t="n"/>
      <c r="H262" s="33">
        <f>IF(A262="","",COUNTIFS('Run sessions'!$A$2:$A$401,A262,'Run sessions'!$B$2:$B$401,B262))</f>
        <v/>
      </c>
      <c r="I262" s="33">
        <f>IF(OR(A262="",D262=""),"",IFERROR(ROUND(D262*IF(INDEX(Programmes!$L$2:$L$10,MATCH(A262,Programmes!$A$2:$A$10,0))="",INDEX(Programmes!$K$2:$K$10,MATCH(A262,Programmes!$A$2:$A$10,0)),INDEX(Programmes!$L$2:$L$10,MATCH(A262,Programmes!$A$2:$A$10,0))),1),""))</f>
        <v/>
      </c>
      <c r="J262" s="33">
        <f>IF(I262="","",IF(LOWER(E262)="auto",ROUND(I262*Rules!$C$8,1),IF(RIGHT(E262,1)="%",ROUND(I262*VALUE(LEFT(E262,LEN(E262)-1))/100,1),IF(RIGHT(LOWER(E262),2)="km",VALUE(LEFT(E262,LEN(E262)-2)),IF(LOWER(E262)="race","race",E262)))))</f>
        <v/>
      </c>
    </row>
    <row r="263" ht="15" customHeight="1" s="21">
      <c r="A263" s="32" t="n"/>
      <c r="B263" s="32" t="n"/>
      <c r="C263" s="32" t="n"/>
      <c r="D263" s="35" t="n"/>
      <c r="E263" s="32" t="n"/>
      <c r="F263" s="32" t="n"/>
      <c r="G263" s="32" t="n"/>
      <c r="H263" s="33">
        <f>IF(A263="","",COUNTIFS('Run sessions'!$A$2:$A$401,A263,'Run sessions'!$B$2:$B$401,B263))</f>
        <v/>
      </c>
      <c r="I263" s="33">
        <f>IF(OR(A263="",D263=""),"",IFERROR(ROUND(D263*IF(INDEX(Programmes!$L$2:$L$10,MATCH(A263,Programmes!$A$2:$A$10,0))="",INDEX(Programmes!$K$2:$K$10,MATCH(A263,Programmes!$A$2:$A$10,0)),INDEX(Programmes!$L$2:$L$10,MATCH(A263,Programmes!$A$2:$A$10,0))),1),""))</f>
        <v/>
      </c>
      <c r="J263" s="33">
        <f>IF(I263="","",IF(LOWER(E263)="auto",ROUND(I263*Rules!$C$8,1),IF(RIGHT(E263,1)="%",ROUND(I263*VALUE(LEFT(E263,LEN(E263)-1))/100,1),IF(RIGHT(LOWER(E263),2)="km",VALUE(LEFT(E263,LEN(E263)-2)),IF(LOWER(E263)="race","race",E263)))))</f>
        <v/>
      </c>
    </row>
    <row r="264" ht="15" customHeight="1" s="21">
      <c r="A264" s="32" t="n"/>
      <c r="B264" s="32" t="n"/>
      <c r="C264" s="32" t="n"/>
      <c r="D264" s="35" t="n"/>
      <c r="E264" s="32" t="n"/>
      <c r="F264" s="32" t="n"/>
      <c r="G264" s="32" t="n"/>
      <c r="H264" s="33">
        <f>IF(A264="","",COUNTIFS('Run sessions'!$A$2:$A$401,A264,'Run sessions'!$B$2:$B$401,B264))</f>
        <v/>
      </c>
      <c r="I264" s="33">
        <f>IF(OR(A264="",D264=""),"",IFERROR(ROUND(D264*IF(INDEX(Programmes!$L$2:$L$10,MATCH(A264,Programmes!$A$2:$A$10,0))="",INDEX(Programmes!$K$2:$K$10,MATCH(A264,Programmes!$A$2:$A$10,0)),INDEX(Programmes!$L$2:$L$10,MATCH(A264,Programmes!$A$2:$A$10,0))),1),""))</f>
        <v/>
      </c>
      <c r="J264" s="33">
        <f>IF(I264="","",IF(LOWER(E264)="auto",ROUND(I264*Rules!$C$8,1),IF(RIGHT(E264,1)="%",ROUND(I264*VALUE(LEFT(E264,LEN(E264)-1))/100,1),IF(RIGHT(LOWER(E264),2)="km",VALUE(LEFT(E264,LEN(E264)-2)),IF(LOWER(E264)="race","race",E264)))))</f>
        <v/>
      </c>
    </row>
    <row r="265" ht="15" customHeight="1" s="21">
      <c r="A265" s="32" t="n"/>
      <c r="B265" s="32" t="n"/>
      <c r="C265" s="32" t="n"/>
      <c r="D265" s="35" t="n"/>
      <c r="E265" s="32" t="n"/>
      <c r="F265" s="32" t="n"/>
      <c r="G265" s="32" t="n"/>
      <c r="H265" s="33">
        <f>IF(A265="","",COUNTIFS('Run sessions'!$A$2:$A$401,A265,'Run sessions'!$B$2:$B$401,B265))</f>
        <v/>
      </c>
      <c r="I265" s="33">
        <f>IF(OR(A265="",D265=""),"",IFERROR(ROUND(D265*IF(INDEX(Programmes!$L$2:$L$10,MATCH(A265,Programmes!$A$2:$A$10,0))="",INDEX(Programmes!$K$2:$K$10,MATCH(A265,Programmes!$A$2:$A$10,0)),INDEX(Programmes!$L$2:$L$10,MATCH(A265,Programmes!$A$2:$A$10,0))),1),""))</f>
        <v/>
      </c>
      <c r="J265" s="33">
        <f>IF(I265="","",IF(LOWER(E265)="auto",ROUND(I265*Rules!$C$8,1),IF(RIGHT(E265,1)="%",ROUND(I265*VALUE(LEFT(E265,LEN(E265)-1))/100,1),IF(RIGHT(LOWER(E265),2)="km",VALUE(LEFT(E265,LEN(E265)-2)),IF(LOWER(E265)="race","race",E265)))))</f>
        <v/>
      </c>
    </row>
    <row r="266" ht="15" customHeight="1" s="21">
      <c r="A266" s="32" t="n"/>
      <c r="B266" s="32" t="n"/>
      <c r="C266" s="32" t="n"/>
      <c r="D266" s="35" t="n"/>
      <c r="E266" s="32" t="n"/>
      <c r="F266" s="32" t="n"/>
      <c r="G266" s="32" t="n"/>
      <c r="H266" s="33">
        <f>IF(A266="","",COUNTIFS('Run sessions'!$A$2:$A$401,A266,'Run sessions'!$B$2:$B$401,B266))</f>
        <v/>
      </c>
      <c r="I266" s="33">
        <f>IF(OR(A266="",D266=""),"",IFERROR(ROUND(D266*IF(INDEX(Programmes!$L$2:$L$10,MATCH(A266,Programmes!$A$2:$A$10,0))="",INDEX(Programmes!$K$2:$K$10,MATCH(A266,Programmes!$A$2:$A$10,0)),INDEX(Programmes!$L$2:$L$10,MATCH(A266,Programmes!$A$2:$A$10,0))),1),""))</f>
        <v/>
      </c>
      <c r="J266" s="33">
        <f>IF(I266="","",IF(LOWER(E266)="auto",ROUND(I266*Rules!$C$8,1),IF(RIGHT(E266,1)="%",ROUND(I266*VALUE(LEFT(E266,LEN(E266)-1))/100,1),IF(RIGHT(LOWER(E266),2)="km",VALUE(LEFT(E266,LEN(E266)-2)),IF(LOWER(E266)="race","race",E266)))))</f>
        <v/>
      </c>
    </row>
    <row r="267" ht="15" customHeight="1" s="21">
      <c r="A267" s="32" t="n"/>
      <c r="B267" s="32" t="n"/>
      <c r="C267" s="32" t="n"/>
      <c r="D267" s="35" t="n"/>
      <c r="E267" s="32" t="n"/>
      <c r="F267" s="32" t="n"/>
      <c r="G267" s="32" t="n"/>
      <c r="H267" s="33">
        <f>IF(A267="","",COUNTIFS('Run sessions'!$A$2:$A$401,A267,'Run sessions'!$B$2:$B$401,B267))</f>
        <v/>
      </c>
      <c r="I267" s="33">
        <f>IF(OR(A267="",D267=""),"",IFERROR(ROUND(D267*IF(INDEX(Programmes!$L$2:$L$10,MATCH(A267,Programmes!$A$2:$A$10,0))="",INDEX(Programmes!$K$2:$K$10,MATCH(A267,Programmes!$A$2:$A$10,0)),INDEX(Programmes!$L$2:$L$10,MATCH(A267,Programmes!$A$2:$A$10,0))),1),""))</f>
        <v/>
      </c>
      <c r="J267" s="33">
        <f>IF(I267="","",IF(LOWER(E267)="auto",ROUND(I267*Rules!$C$8,1),IF(RIGHT(E267,1)="%",ROUND(I267*VALUE(LEFT(E267,LEN(E267)-1))/100,1),IF(RIGHT(LOWER(E267),2)="km",VALUE(LEFT(E267,LEN(E267)-2)),IF(LOWER(E267)="race","race",E267)))))</f>
        <v/>
      </c>
    </row>
    <row r="268" ht="15" customHeight="1" s="21">
      <c r="A268" s="32" t="n"/>
      <c r="B268" s="32" t="n"/>
      <c r="C268" s="32" t="n"/>
      <c r="D268" s="35" t="n"/>
      <c r="E268" s="32" t="n"/>
      <c r="F268" s="32" t="n"/>
      <c r="G268" s="32" t="n"/>
      <c r="H268" s="33">
        <f>IF(A268="","",COUNTIFS('Run sessions'!$A$2:$A$401,A268,'Run sessions'!$B$2:$B$401,B268))</f>
        <v/>
      </c>
      <c r="I268" s="33">
        <f>IF(OR(A268="",D268=""),"",IFERROR(ROUND(D268*IF(INDEX(Programmes!$L$2:$L$10,MATCH(A268,Programmes!$A$2:$A$10,0))="",INDEX(Programmes!$K$2:$K$10,MATCH(A268,Programmes!$A$2:$A$10,0)),INDEX(Programmes!$L$2:$L$10,MATCH(A268,Programmes!$A$2:$A$10,0))),1),""))</f>
        <v/>
      </c>
      <c r="J268" s="33">
        <f>IF(I268="","",IF(LOWER(E268)="auto",ROUND(I268*Rules!$C$8,1),IF(RIGHT(E268,1)="%",ROUND(I268*VALUE(LEFT(E268,LEN(E268)-1))/100,1),IF(RIGHT(LOWER(E268),2)="km",VALUE(LEFT(E268,LEN(E268)-2)),IF(LOWER(E268)="race","race",E268)))))</f>
        <v/>
      </c>
    </row>
    <row r="269" ht="15" customHeight="1" s="21">
      <c r="A269" s="32" t="n"/>
      <c r="B269" s="32" t="n"/>
      <c r="C269" s="32" t="n"/>
      <c r="D269" s="35" t="n"/>
      <c r="E269" s="32" t="n"/>
      <c r="F269" s="32" t="n"/>
      <c r="G269" s="32" t="n"/>
      <c r="H269" s="33">
        <f>IF(A269="","",COUNTIFS('Run sessions'!$A$2:$A$401,A269,'Run sessions'!$B$2:$B$401,B269))</f>
        <v/>
      </c>
      <c r="I269" s="33">
        <f>IF(OR(A269="",D269=""),"",IFERROR(ROUND(D269*IF(INDEX(Programmes!$L$2:$L$10,MATCH(A269,Programmes!$A$2:$A$10,0))="",INDEX(Programmes!$K$2:$K$10,MATCH(A269,Programmes!$A$2:$A$10,0)),INDEX(Programmes!$L$2:$L$10,MATCH(A269,Programmes!$A$2:$A$10,0))),1),""))</f>
        <v/>
      </c>
      <c r="J269" s="33">
        <f>IF(I269="","",IF(LOWER(E269)="auto",ROUND(I269*Rules!$C$8,1),IF(RIGHT(E269,1)="%",ROUND(I269*VALUE(LEFT(E269,LEN(E269)-1))/100,1),IF(RIGHT(LOWER(E269),2)="km",VALUE(LEFT(E269,LEN(E269)-2)),IF(LOWER(E269)="race","race",E269)))))</f>
        <v/>
      </c>
    </row>
    <row r="270" ht="15" customHeight="1" s="21">
      <c r="A270" s="32" t="n"/>
      <c r="B270" s="32" t="n"/>
      <c r="C270" s="32" t="n"/>
      <c r="D270" s="35" t="n"/>
      <c r="E270" s="32" t="n"/>
      <c r="F270" s="32" t="n"/>
      <c r="G270" s="32" t="n"/>
      <c r="H270" s="33">
        <f>IF(A270="","",COUNTIFS('Run sessions'!$A$2:$A$401,A270,'Run sessions'!$B$2:$B$401,B270))</f>
        <v/>
      </c>
      <c r="I270" s="33">
        <f>IF(OR(A270="",D270=""),"",IFERROR(ROUND(D270*IF(INDEX(Programmes!$L$2:$L$10,MATCH(A270,Programmes!$A$2:$A$10,0))="",INDEX(Programmes!$K$2:$K$10,MATCH(A270,Programmes!$A$2:$A$10,0)),INDEX(Programmes!$L$2:$L$10,MATCH(A270,Programmes!$A$2:$A$10,0))),1),""))</f>
        <v/>
      </c>
      <c r="J270" s="33">
        <f>IF(I270="","",IF(LOWER(E270)="auto",ROUND(I270*Rules!$C$8,1),IF(RIGHT(E270,1)="%",ROUND(I270*VALUE(LEFT(E270,LEN(E270)-1))/100,1),IF(RIGHT(LOWER(E270),2)="km",VALUE(LEFT(E270,LEN(E270)-2)),IF(LOWER(E270)="race","race",E270)))))</f>
        <v/>
      </c>
    </row>
    <row r="271" ht="15" customHeight="1" s="21">
      <c r="A271" s="32" t="n"/>
      <c r="B271" s="32" t="n"/>
      <c r="C271" s="32" t="n"/>
      <c r="D271" s="35" t="n"/>
      <c r="E271" s="32" t="n"/>
      <c r="F271" s="32" t="n"/>
      <c r="G271" s="32" t="n"/>
      <c r="H271" s="33">
        <f>IF(A271="","",COUNTIFS('Run sessions'!$A$2:$A$401,A271,'Run sessions'!$B$2:$B$401,B271))</f>
        <v/>
      </c>
      <c r="I271" s="33">
        <f>IF(OR(A271="",D271=""),"",IFERROR(ROUND(D271*IF(INDEX(Programmes!$L$2:$L$10,MATCH(A271,Programmes!$A$2:$A$10,0))="",INDEX(Programmes!$K$2:$K$10,MATCH(A271,Programmes!$A$2:$A$10,0)),INDEX(Programmes!$L$2:$L$10,MATCH(A271,Programmes!$A$2:$A$10,0))),1),""))</f>
        <v/>
      </c>
      <c r="J271" s="33">
        <f>IF(I271="","",IF(LOWER(E271)="auto",ROUND(I271*Rules!$C$8,1),IF(RIGHT(E271,1)="%",ROUND(I271*VALUE(LEFT(E271,LEN(E271)-1))/100,1),IF(RIGHT(LOWER(E271),2)="km",VALUE(LEFT(E271,LEN(E271)-2)),IF(LOWER(E271)="race","race",E271)))))</f>
        <v/>
      </c>
    </row>
    <row r="272" ht="15" customHeight="1" s="21">
      <c r="A272" s="32" t="n"/>
      <c r="B272" s="32" t="n"/>
      <c r="C272" s="32" t="n"/>
      <c r="D272" s="35" t="n"/>
      <c r="E272" s="32" t="n"/>
      <c r="F272" s="32" t="n"/>
      <c r="G272" s="32" t="n"/>
      <c r="H272" s="33">
        <f>IF(A272="","",COUNTIFS('Run sessions'!$A$2:$A$401,A272,'Run sessions'!$B$2:$B$401,B272))</f>
        <v/>
      </c>
      <c r="I272" s="33">
        <f>IF(OR(A272="",D272=""),"",IFERROR(ROUND(D272*IF(INDEX(Programmes!$L$2:$L$10,MATCH(A272,Programmes!$A$2:$A$10,0))="",INDEX(Programmes!$K$2:$K$10,MATCH(A272,Programmes!$A$2:$A$10,0)),INDEX(Programmes!$L$2:$L$10,MATCH(A272,Programmes!$A$2:$A$10,0))),1),""))</f>
        <v/>
      </c>
      <c r="J272" s="33">
        <f>IF(I272="","",IF(LOWER(E272)="auto",ROUND(I272*Rules!$C$8,1),IF(RIGHT(E272,1)="%",ROUND(I272*VALUE(LEFT(E272,LEN(E272)-1))/100,1),IF(RIGHT(LOWER(E272),2)="km",VALUE(LEFT(E272,LEN(E272)-2)),IF(LOWER(E272)="race","race",E272)))))</f>
        <v/>
      </c>
    </row>
    <row r="273" ht="15" customHeight="1" s="21">
      <c r="A273" s="32" t="n"/>
      <c r="B273" s="32" t="n"/>
      <c r="C273" s="32" t="n"/>
      <c r="D273" s="35" t="n"/>
      <c r="E273" s="32" t="n"/>
      <c r="F273" s="32" t="n"/>
      <c r="G273" s="32" t="n"/>
      <c r="H273" s="33">
        <f>IF(A273="","",COUNTIFS('Run sessions'!$A$2:$A$401,A273,'Run sessions'!$B$2:$B$401,B273))</f>
        <v/>
      </c>
      <c r="I273" s="33">
        <f>IF(OR(A273="",D273=""),"",IFERROR(ROUND(D273*IF(INDEX(Programmes!$L$2:$L$10,MATCH(A273,Programmes!$A$2:$A$10,0))="",INDEX(Programmes!$K$2:$K$10,MATCH(A273,Programmes!$A$2:$A$10,0)),INDEX(Programmes!$L$2:$L$10,MATCH(A273,Programmes!$A$2:$A$10,0))),1),""))</f>
        <v/>
      </c>
      <c r="J273" s="33">
        <f>IF(I273="","",IF(LOWER(E273)="auto",ROUND(I273*Rules!$C$8,1),IF(RIGHT(E273,1)="%",ROUND(I273*VALUE(LEFT(E273,LEN(E273)-1))/100,1),IF(RIGHT(LOWER(E273),2)="km",VALUE(LEFT(E273,LEN(E273)-2)),IF(LOWER(E273)="race","race",E273)))))</f>
        <v/>
      </c>
    </row>
    <row r="274" ht="15" customHeight="1" s="21">
      <c r="A274" s="32" t="n"/>
      <c r="B274" s="32" t="n"/>
      <c r="C274" s="32" t="n"/>
      <c r="D274" s="35" t="n"/>
      <c r="E274" s="32" t="n"/>
      <c r="F274" s="32" t="n"/>
      <c r="G274" s="32" t="n"/>
      <c r="H274" s="33">
        <f>IF(A274="","",COUNTIFS('Run sessions'!$A$2:$A$401,A274,'Run sessions'!$B$2:$B$401,B274))</f>
        <v/>
      </c>
      <c r="I274" s="33">
        <f>IF(OR(A274="",D274=""),"",IFERROR(ROUND(D274*IF(INDEX(Programmes!$L$2:$L$10,MATCH(A274,Programmes!$A$2:$A$10,0))="",INDEX(Programmes!$K$2:$K$10,MATCH(A274,Programmes!$A$2:$A$10,0)),INDEX(Programmes!$L$2:$L$10,MATCH(A274,Programmes!$A$2:$A$10,0))),1),""))</f>
        <v/>
      </c>
      <c r="J274" s="33">
        <f>IF(I274="","",IF(LOWER(E274)="auto",ROUND(I274*Rules!$C$8,1),IF(RIGHT(E274,1)="%",ROUND(I274*VALUE(LEFT(E274,LEN(E274)-1))/100,1),IF(RIGHT(LOWER(E274),2)="km",VALUE(LEFT(E274,LEN(E274)-2)),IF(LOWER(E274)="race","race",E274)))))</f>
        <v/>
      </c>
    </row>
    <row r="275" ht="15" customHeight="1" s="21">
      <c r="A275" s="32" t="n"/>
      <c r="B275" s="32" t="n"/>
      <c r="C275" s="32" t="n"/>
      <c r="D275" s="35" t="n"/>
      <c r="E275" s="32" t="n"/>
      <c r="F275" s="32" t="n"/>
      <c r="G275" s="32" t="n"/>
      <c r="H275" s="33">
        <f>IF(A275="","",COUNTIFS('Run sessions'!$A$2:$A$401,A275,'Run sessions'!$B$2:$B$401,B275))</f>
        <v/>
      </c>
      <c r="I275" s="33">
        <f>IF(OR(A275="",D275=""),"",IFERROR(ROUND(D275*IF(INDEX(Programmes!$L$2:$L$10,MATCH(A275,Programmes!$A$2:$A$10,0))="",INDEX(Programmes!$K$2:$K$10,MATCH(A275,Programmes!$A$2:$A$10,0)),INDEX(Programmes!$L$2:$L$10,MATCH(A275,Programmes!$A$2:$A$10,0))),1),""))</f>
        <v/>
      </c>
      <c r="J275" s="33">
        <f>IF(I275="","",IF(LOWER(E275)="auto",ROUND(I275*Rules!$C$8,1),IF(RIGHT(E275,1)="%",ROUND(I275*VALUE(LEFT(E275,LEN(E275)-1))/100,1),IF(RIGHT(LOWER(E275),2)="km",VALUE(LEFT(E275,LEN(E275)-2)),IF(LOWER(E275)="race","race",E275)))))</f>
        <v/>
      </c>
    </row>
    <row r="276" ht="15" customHeight="1" s="21">
      <c r="A276" s="32" t="n"/>
      <c r="B276" s="32" t="n"/>
      <c r="C276" s="32" t="n"/>
      <c r="D276" s="35" t="n"/>
      <c r="E276" s="32" t="n"/>
      <c r="F276" s="32" t="n"/>
      <c r="G276" s="32" t="n"/>
      <c r="H276" s="33">
        <f>IF(A276="","",COUNTIFS('Run sessions'!$A$2:$A$401,A276,'Run sessions'!$B$2:$B$401,B276))</f>
        <v/>
      </c>
      <c r="I276" s="33">
        <f>IF(OR(A276="",D276=""),"",IFERROR(ROUND(D276*IF(INDEX(Programmes!$L$2:$L$10,MATCH(A276,Programmes!$A$2:$A$10,0))="",INDEX(Programmes!$K$2:$K$10,MATCH(A276,Programmes!$A$2:$A$10,0)),INDEX(Programmes!$L$2:$L$10,MATCH(A276,Programmes!$A$2:$A$10,0))),1),""))</f>
        <v/>
      </c>
      <c r="J276" s="33">
        <f>IF(I276="","",IF(LOWER(E276)="auto",ROUND(I276*Rules!$C$8,1),IF(RIGHT(E276,1)="%",ROUND(I276*VALUE(LEFT(E276,LEN(E276)-1))/100,1),IF(RIGHT(LOWER(E276),2)="km",VALUE(LEFT(E276,LEN(E276)-2)),IF(LOWER(E276)="race","race",E276)))))</f>
        <v/>
      </c>
    </row>
    <row r="277" ht="15" customHeight="1" s="21">
      <c r="A277" s="32" t="n"/>
      <c r="B277" s="32" t="n"/>
      <c r="C277" s="32" t="n"/>
      <c r="D277" s="35" t="n"/>
      <c r="E277" s="32" t="n"/>
      <c r="F277" s="32" t="n"/>
      <c r="G277" s="32" t="n"/>
      <c r="H277" s="33">
        <f>IF(A277="","",COUNTIFS('Run sessions'!$A$2:$A$401,A277,'Run sessions'!$B$2:$B$401,B277))</f>
        <v/>
      </c>
      <c r="I277" s="33">
        <f>IF(OR(A277="",D277=""),"",IFERROR(ROUND(D277*IF(INDEX(Programmes!$L$2:$L$10,MATCH(A277,Programmes!$A$2:$A$10,0))="",INDEX(Programmes!$K$2:$K$10,MATCH(A277,Programmes!$A$2:$A$10,0)),INDEX(Programmes!$L$2:$L$10,MATCH(A277,Programmes!$A$2:$A$10,0))),1),""))</f>
        <v/>
      </c>
      <c r="J277" s="33">
        <f>IF(I277="","",IF(LOWER(E277)="auto",ROUND(I277*Rules!$C$8,1),IF(RIGHT(E277,1)="%",ROUND(I277*VALUE(LEFT(E277,LEN(E277)-1))/100,1),IF(RIGHT(LOWER(E277),2)="km",VALUE(LEFT(E277,LEN(E277)-2)),IF(LOWER(E277)="race","race",E277)))))</f>
        <v/>
      </c>
    </row>
    <row r="278" ht="15" customHeight="1" s="21">
      <c r="A278" s="32" t="n"/>
      <c r="B278" s="32" t="n"/>
      <c r="C278" s="32" t="n"/>
      <c r="D278" s="35" t="n"/>
      <c r="E278" s="32" t="n"/>
      <c r="F278" s="32" t="n"/>
      <c r="G278" s="32" t="n"/>
      <c r="H278" s="33">
        <f>IF(A278="","",COUNTIFS('Run sessions'!$A$2:$A$401,A278,'Run sessions'!$B$2:$B$401,B278))</f>
        <v/>
      </c>
      <c r="I278" s="33">
        <f>IF(OR(A278="",D278=""),"",IFERROR(ROUND(D278*IF(INDEX(Programmes!$L$2:$L$10,MATCH(A278,Programmes!$A$2:$A$10,0))="",INDEX(Programmes!$K$2:$K$10,MATCH(A278,Programmes!$A$2:$A$10,0)),INDEX(Programmes!$L$2:$L$10,MATCH(A278,Programmes!$A$2:$A$10,0))),1),""))</f>
        <v/>
      </c>
      <c r="J278" s="33">
        <f>IF(I278="","",IF(LOWER(E278)="auto",ROUND(I278*Rules!$C$8,1),IF(RIGHT(E278,1)="%",ROUND(I278*VALUE(LEFT(E278,LEN(E278)-1))/100,1),IF(RIGHT(LOWER(E278),2)="km",VALUE(LEFT(E278,LEN(E278)-2)),IF(LOWER(E278)="race","race",E278)))))</f>
        <v/>
      </c>
    </row>
    <row r="279" ht="15" customHeight="1" s="21">
      <c r="A279" s="32" t="n"/>
      <c r="B279" s="32" t="n"/>
      <c r="C279" s="32" t="n"/>
      <c r="D279" s="35" t="n"/>
      <c r="E279" s="32" t="n"/>
      <c r="F279" s="32" t="n"/>
      <c r="G279" s="32" t="n"/>
      <c r="H279" s="33">
        <f>IF(A279="","",COUNTIFS('Run sessions'!$A$2:$A$401,A279,'Run sessions'!$B$2:$B$401,B279))</f>
        <v/>
      </c>
      <c r="I279" s="33">
        <f>IF(OR(A279="",D279=""),"",IFERROR(ROUND(D279*IF(INDEX(Programmes!$L$2:$L$10,MATCH(A279,Programmes!$A$2:$A$10,0))="",INDEX(Programmes!$K$2:$K$10,MATCH(A279,Programmes!$A$2:$A$10,0)),INDEX(Programmes!$L$2:$L$10,MATCH(A279,Programmes!$A$2:$A$10,0))),1),""))</f>
        <v/>
      </c>
      <c r="J279" s="33">
        <f>IF(I279="","",IF(LOWER(E279)="auto",ROUND(I279*Rules!$C$8,1),IF(RIGHT(E279,1)="%",ROUND(I279*VALUE(LEFT(E279,LEN(E279)-1))/100,1),IF(RIGHT(LOWER(E279),2)="km",VALUE(LEFT(E279,LEN(E279)-2)),IF(LOWER(E279)="race","race",E279)))))</f>
        <v/>
      </c>
    </row>
    <row r="280" ht="15" customHeight="1" s="21">
      <c r="A280" s="32" t="n"/>
      <c r="B280" s="32" t="n"/>
      <c r="C280" s="32" t="n"/>
      <c r="D280" s="35" t="n"/>
      <c r="E280" s="32" t="n"/>
      <c r="F280" s="32" t="n"/>
      <c r="G280" s="32" t="n"/>
      <c r="H280" s="33">
        <f>IF(A280="","",COUNTIFS('Run sessions'!$A$2:$A$401,A280,'Run sessions'!$B$2:$B$401,B280))</f>
        <v/>
      </c>
      <c r="I280" s="33">
        <f>IF(OR(A280="",D280=""),"",IFERROR(ROUND(D280*IF(INDEX(Programmes!$L$2:$L$10,MATCH(A280,Programmes!$A$2:$A$10,0))="",INDEX(Programmes!$K$2:$K$10,MATCH(A280,Programmes!$A$2:$A$10,0)),INDEX(Programmes!$L$2:$L$10,MATCH(A280,Programmes!$A$2:$A$10,0))),1),""))</f>
        <v/>
      </c>
      <c r="J280" s="33">
        <f>IF(I280="","",IF(LOWER(E280)="auto",ROUND(I280*Rules!$C$8,1),IF(RIGHT(E280,1)="%",ROUND(I280*VALUE(LEFT(E280,LEN(E280)-1))/100,1),IF(RIGHT(LOWER(E280),2)="km",VALUE(LEFT(E280,LEN(E280)-2)),IF(LOWER(E280)="race","race",E280)))))</f>
        <v/>
      </c>
    </row>
    <row r="281" ht="15" customHeight="1" s="21">
      <c r="A281" s="32" t="n"/>
      <c r="B281" s="32" t="n"/>
      <c r="C281" s="32" t="n"/>
      <c r="D281" s="35" t="n"/>
      <c r="E281" s="32" t="n"/>
      <c r="F281" s="32" t="n"/>
      <c r="G281" s="32" t="n"/>
      <c r="H281" s="33">
        <f>IF(A281="","",COUNTIFS('Run sessions'!$A$2:$A$401,A281,'Run sessions'!$B$2:$B$401,B281))</f>
        <v/>
      </c>
      <c r="I281" s="33">
        <f>IF(OR(A281="",D281=""),"",IFERROR(ROUND(D281*IF(INDEX(Programmes!$L$2:$L$10,MATCH(A281,Programmes!$A$2:$A$10,0))="",INDEX(Programmes!$K$2:$K$10,MATCH(A281,Programmes!$A$2:$A$10,0)),INDEX(Programmes!$L$2:$L$10,MATCH(A281,Programmes!$A$2:$A$10,0))),1),""))</f>
        <v/>
      </c>
      <c r="J281" s="33">
        <f>IF(I281="","",IF(LOWER(E281)="auto",ROUND(I281*Rules!$C$8,1),IF(RIGHT(E281,1)="%",ROUND(I281*VALUE(LEFT(E281,LEN(E281)-1))/100,1),IF(RIGHT(LOWER(E281),2)="km",VALUE(LEFT(E281,LEN(E281)-2)),IF(LOWER(E281)="race","race",E281)))))</f>
        <v/>
      </c>
    </row>
    <row r="282" ht="15" customHeight="1" s="21">
      <c r="A282" s="32" t="n"/>
      <c r="B282" s="32" t="n"/>
      <c r="C282" s="32" t="n"/>
      <c r="D282" s="35" t="n"/>
      <c r="E282" s="32" t="n"/>
      <c r="F282" s="32" t="n"/>
      <c r="G282" s="32" t="n"/>
      <c r="H282" s="33">
        <f>IF(A282="","",COUNTIFS('Run sessions'!$A$2:$A$401,A282,'Run sessions'!$B$2:$B$401,B282))</f>
        <v/>
      </c>
      <c r="I282" s="33">
        <f>IF(OR(A282="",D282=""),"",IFERROR(ROUND(D282*IF(INDEX(Programmes!$L$2:$L$10,MATCH(A282,Programmes!$A$2:$A$10,0))="",INDEX(Programmes!$K$2:$K$10,MATCH(A282,Programmes!$A$2:$A$10,0)),INDEX(Programmes!$L$2:$L$10,MATCH(A282,Programmes!$A$2:$A$10,0))),1),""))</f>
        <v/>
      </c>
      <c r="J282" s="33">
        <f>IF(I282="","",IF(LOWER(E282)="auto",ROUND(I282*Rules!$C$8,1),IF(RIGHT(E282,1)="%",ROUND(I282*VALUE(LEFT(E282,LEN(E282)-1))/100,1),IF(RIGHT(LOWER(E282),2)="km",VALUE(LEFT(E282,LEN(E282)-2)),IF(LOWER(E282)="race","race",E282)))))</f>
        <v/>
      </c>
    </row>
    <row r="283" ht="15" customHeight="1" s="21">
      <c r="A283" s="32" t="n"/>
      <c r="B283" s="32" t="n"/>
      <c r="C283" s="32" t="n"/>
      <c r="D283" s="35" t="n"/>
      <c r="E283" s="32" t="n"/>
      <c r="F283" s="32" t="n"/>
      <c r="G283" s="32" t="n"/>
      <c r="H283" s="33">
        <f>IF(A283="","",COUNTIFS('Run sessions'!$A$2:$A$401,A283,'Run sessions'!$B$2:$B$401,B283))</f>
        <v/>
      </c>
      <c r="I283" s="33">
        <f>IF(OR(A283="",D283=""),"",IFERROR(ROUND(D283*IF(INDEX(Programmes!$L$2:$L$10,MATCH(A283,Programmes!$A$2:$A$10,0))="",INDEX(Programmes!$K$2:$K$10,MATCH(A283,Programmes!$A$2:$A$10,0)),INDEX(Programmes!$L$2:$L$10,MATCH(A283,Programmes!$A$2:$A$10,0))),1),""))</f>
        <v/>
      </c>
      <c r="J283" s="33">
        <f>IF(I283="","",IF(LOWER(E283)="auto",ROUND(I283*Rules!$C$8,1),IF(RIGHT(E283,1)="%",ROUND(I283*VALUE(LEFT(E283,LEN(E283)-1))/100,1),IF(RIGHT(LOWER(E283),2)="km",VALUE(LEFT(E283,LEN(E283)-2)),IF(LOWER(E283)="race","race",E283)))))</f>
        <v/>
      </c>
    </row>
    <row r="284" ht="15" customHeight="1" s="21">
      <c r="A284" s="32" t="n"/>
      <c r="B284" s="32" t="n"/>
      <c r="C284" s="32" t="n"/>
      <c r="D284" s="35" t="n"/>
      <c r="E284" s="32" t="n"/>
      <c r="F284" s="32" t="n"/>
      <c r="G284" s="32" t="n"/>
      <c r="H284" s="33">
        <f>IF(A284="","",COUNTIFS('Run sessions'!$A$2:$A$401,A284,'Run sessions'!$B$2:$B$401,B284))</f>
        <v/>
      </c>
      <c r="I284" s="33">
        <f>IF(OR(A284="",D284=""),"",IFERROR(ROUND(D284*IF(INDEX(Programmes!$L$2:$L$10,MATCH(A284,Programmes!$A$2:$A$10,0))="",INDEX(Programmes!$K$2:$K$10,MATCH(A284,Programmes!$A$2:$A$10,0)),INDEX(Programmes!$L$2:$L$10,MATCH(A284,Programmes!$A$2:$A$10,0))),1),""))</f>
        <v/>
      </c>
      <c r="J284" s="33">
        <f>IF(I284="","",IF(LOWER(E284)="auto",ROUND(I284*Rules!$C$8,1),IF(RIGHT(E284,1)="%",ROUND(I284*VALUE(LEFT(E284,LEN(E284)-1))/100,1),IF(RIGHT(LOWER(E284),2)="km",VALUE(LEFT(E284,LEN(E284)-2)),IF(LOWER(E284)="race","race",E284)))))</f>
        <v/>
      </c>
    </row>
    <row r="285" ht="15" customHeight="1" s="21">
      <c r="A285" s="32" t="n"/>
      <c r="B285" s="32" t="n"/>
      <c r="C285" s="32" t="n"/>
      <c r="D285" s="35" t="n"/>
      <c r="E285" s="32" t="n"/>
      <c r="F285" s="32" t="n"/>
      <c r="G285" s="32" t="n"/>
      <c r="H285" s="33">
        <f>IF(A285="","",COUNTIFS('Run sessions'!$A$2:$A$401,A285,'Run sessions'!$B$2:$B$401,B285))</f>
        <v/>
      </c>
      <c r="I285" s="33">
        <f>IF(OR(A285="",D285=""),"",IFERROR(ROUND(D285*IF(INDEX(Programmes!$L$2:$L$10,MATCH(A285,Programmes!$A$2:$A$10,0))="",INDEX(Programmes!$K$2:$K$10,MATCH(A285,Programmes!$A$2:$A$10,0)),INDEX(Programmes!$L$2:$L$10,MATCH(A285,Programmes!$A$2:$A$10,0))),1),""))</f>
        <v/>
      </c>
      <c r="J285" s="33">
        <f>IF(I285="","",IF(LOWER(E285)="auto",ROUND(I285*Rules!$C$8,1),IF(RIGHT(E285,1)="%",ROUND(I285*VALUE(LEFT(E285,LEN(E285)-1))/100,1),IF(RIGHT(LOWER(E285),2)="km",VALUE(LEFT(E285,LEN(E285)-2)),IF(LOWER(E285)="race","race",E285)))))</f>
        <v/>
      </c>
    </row>
    <row r="286" ht="15" customHeight="1" s="21">
      <c r="A286" s="32" t="n"/>
      <c r="B286" s="32" t="n"/>
      <c r="C286" s="32" t="n"/>
      <c r="D286" s="35" t="n"/>
      <c r="E286" s="32" t="n"/>
      <c r="F286" s="32" t="n"/>
      <c r="G286" s="32" t="n"/>
      <c r="H286" s="33">
        <f>IF(A286="","",COUNTIFS('Run sessions'!$A$2:$A$401,A286,'Run sessions'!$B$2:$B$401,B286))</f>
        <v/>
      </c>
      <c r="I286" s="33">
        <f>IF(OR(A286="",D286=""),"",IFERROR(ROUND(D286*IF(INDEX(Programmes!$L$2:$L$10,MATCH(A286,Programmes!$A$2:$A$10,0))="",INDEX(Programmes!$K$2:$K$10,MATCH(A286,Programmes!$A$2:$A$10,0)),INDEX(Programmes!$L$2:$L$10,MATCH(A286,Programmes!$A$2:$A$10,0))),1),""))</f>
        <v/>
      </c>
      <c r="J286" s="33">
        <f>IF(I286="","",IF(LOWER(E286)="auto",ROUND(I286*Rules!$C$8,1),IF(RIGHT(E286,1)="%",ROUND(I286*VALUE(LEFT(E286,LEN(E286)-1))/100,1),IF(RIGHT(LOWER(E286),2)="km",VALUE(LEFT(E286,LEN(E286)-2)),IF(LOWER(E286)="race","race",E286)))))</f>
        <v/>
      </c>
    </row>
    <row r="287" ht="15" customHeight="1" s="21">
      <c r="A287" s="32" t="n"/>
      <c r="B287" s="32" t="n"/>
      <c r="C287" s="32" t="n"/>
      <c r="D287" s="35" t="n"/>
      <c r="E287" s="32" t="n"/>
      <c r="F287" s="32" t="n"/>
      <c r="G287" s="32" t="n"/>
      <c r="H287" s="33">
        <f>IF(A287="","",COUNTIFS('Run sessions'!$A$2:$A$401,A287,'Run sessions'!$B$2:$B$401,B287))</f>
        <v/>
      </c>
      <c r="I287" s="33">
        <f>IF(OR(A287="",D287=""),"",IFERROR(ROUND(D287*IF(INDEX(Programmes!$L$2:$L$10,MATCH(A287,Programmes!$A$2:$A$10,0))="",INDEX(Programmes!$K$2:$K$10,MATCH(A287,Programmes!$A$2:$A$10,0)),INDEX(Programmes!$L$2:$L$10,MATCH(A287,Programmes!$A$2:$A$10,0))),1),""))</f>
        <v/>
      </c>
      <c r="J287" s="33">
        <f>IF(I287="","",IF(LOWER(E287)="auto",ROUND(I287*Rules!$C$8,1),IF(RIGHT(E287,1)="%",ROUND(I287*VALUE(LEFT(E287,LEN(E287)-1))/100,1),IF(RIGHT(LOWER(E287),2)="km",VALUE(LEFT(E287,LEN(E287)-2)),IF(LOWER(E287)="race","race",E287)))))</f>
        <v/>
      </c>
    </row>
    <row r="288" ht="15" customHeight="1" s="21">
      <c r="A288" s="32" t="n"/>
      <c r="B288" s="32" t="n"/>
      <c r="C288" s="32" t="n"/>
      <c r="D288" s="35" t="n"/>
      <c r="E288" s="32" t="n"/>
      <c r="F288" s="32" t="n"/>
      <c r="G288" s="32" t="n"/>
      <c r="H288" s="33">
        <f>IF(A288="","",COUNTIFS('Run sessions'!$A$2:$A$401,A288,'Run sessions'!$B$2:$B$401,B288))</f>
        <v/>
      </c>
      <c r="I288" s="33">
        <f>IF(OR(A288="",D288=""),"",IFERROR(ROUND(D288*IF(INDEX(Programmes!$L$2:$L$10,MATCH(A288,Programmes!$A$2:$A$10,0))="",INDEX(Programmes!$K$2:$K$10,MATCH(A288,Programmes!$A$2:$A$10,0)),INDEX(Programmes!$L$2:$L$10,MATCH(A288,Programmes!$A$2:$A$10,0))),1),""))</f>
        <v/>
      </c>
      <c r="J288" s="33">
        <f>IF(I288="","",IF(LOWER(E288)="auto",ROUND(I288*Rules!$C$8,1),IF(RIGHT(E288,1)="%",ROUND(I288*VALUE(LEFT(E288,LEN(E288)-1))/100,1),IF(RIGHT(LOWER(E288),2)="km",VALUE(LEFT(E288,LEN(E288)-2)),IF(LOWER(E288)="race","race",E288)))))</f>
        <v/>
      </c>
    </row>
    <row r="289" ht="15" customHeight="1" s="21">
      <c r="A289" s="32" t="n"/>
      <c r="B289" s="32" t="n"/>
      <c r="C289" s="32" t="n"/>
      <c r="D289" s="35" t="n"/>
      <c r="E289" s="32" t="n"/>
      <c r="F289" s="32" t="n"/>
      <c r="G289" s="32" t="n"/>
      <c r="H289" s="33">
        <f>IF(A289="","",COUNTIFS('Run sessions'!$A$2:$A$401,A289,'Run sessions'!$B$2:$B$401,B289))</f>
        <v/>
      </c>
      <c r="I289" s="33">
        <f>IF(OR(A289="",D289=""),"",IFERROR(ROUND(D289*IF(INDEX(Programmes!$L$2:$L$10,MATCH(A289,Programmes!$A$2:$A$10,0))="",INDEX(Programmes!$K$2:$K$10,MATCH(A289,Programmes!$A$2:$A$10,0)),INDEX(Programmes!$L$2:$L$10,MATCH(A289,Programmes!$A$2:$A$10,0))),1),""))</f>
        <v/>
      </c>
      <c r="J289" s="33">
        <f>IF(I289="","",IF(LOWER(E289)="auto",ROUND(I289*Rules!$C$8,1),IF(RIGHT(E289,1)="%",ROUND(I289*VALUE(LEFT(E289,LEN(E289)-1))/100,1),IF(RIGHT(LOWER(E289),2)="km",VALUE(LEFT(E289,LEN(E289)-2)),IF(LOWER(E289)="race","race",E289)))))</f>
        <v/>
      </c>
    </row>
    <row r="290" ht="15" customHeight="1" s="21">
      <c r="A290" s="32" t="n"/>
      <c r="B290" s="32" t="n"/>
      <c r="C290" s="32" t="n"/>
      <c r="D290" s="35" t="n"/>
      <c r="E290" s="32" t="n"/>
      <c r="F290" s="32" t="n"/>
      <c r="G290" s="32" t="n"/>
      <c r="H290" s="33">
        <f>IF(A290="","",COUNTIFS('Run sessions'!$A$2:$A$401,A290,'Run sessions'!$B$2:$B$401,B290))</f>
        <v/>
      </c>
      <c r="I290" s="33">
        <f>IF(OR(A290="",D290=""),"",IFERROR(ROUND(D290*IF(INDEX(Programmes!$L$2:$L$10,MATCH(A290,Programmes!$A$2:$A$10,0))="",INDEX(Programmes!$K$2:$K$10,MATCH(A290,Programmes!$A$2:$A$10,0)),INDEX(Programmes!$L$2:$L$10,MATCH(A290,Programmes!$A$2:$A$10,0))),1),""))</f>
        <v/>
      </c>
      <c r="J290" s="33">
        <f>IF(I290="","",IF(LOWER(E290)="auto",ROUND(I290*Rules!$C$8,1),IF(RIGHT(E290,1)="%",ROUND(I290*VALUE(LEFT(E290,LEN(E290)-1))/100,1),IF(RIGHT(LOWER(E290),2)="km",VALUE(LEFT(E290,LEN(E290)-2)),IF(LOWER(E290)="race","race",E290)))))</f>
        <v/>
      </c>
    </row>
    <row r="291" ht="15" customHeight="1" s="21">
      <c r="A291" s="32" t="n"/>
      <c r="B291" s="32" t="n"/>
      <c r="C291" s="32" t="n"/>
      <c r="D291" s="35" t="n"/>
      <c r="E291" s="32" t="n"/>
      <c r="F291" s="32" t="n"/>
      <c r="G291" s="32" t="n"/>
      <c r="H291" s="33">
        <f>IF(A291="","",COUNTIFS('Run sessions'!$A$2:$A$401,A291,'Run sessions'!$B$2:$B$401,B291))</f>
        <v/>
      </c>
      <c r="I291" s="33">
        <f>IF(OR(A291="",D291=""),"",IFERROR(ROUND(D291*IF(INDEX(Programmes!$L$2:$L$10,MATCH(A291,Programmes!$A$2:$A$10,0))="",INDEX(Programmes!$K$2:$K$10,MATCH(A291,Programmes!$A$2:$A$10,0)),INDEX(Programmes!$L$2:$L$10,MATCH(A291,Programmes!$A$2:$A$10,0))),1),""))</f>
        <v/>
      </c>
      <c r="J291" s="33">
        <f>IF(I291="","",IF(LOWER(E291)="auto",ROUND(I291*Rules!$C$8,1),IF(RIGHT(E291,1)="%",ROUND(I291*VALUE(LEFT(E291,LEN(E291)-1))/100,1),IF(RIGHT(LOWER(E291),2)="km",VALUE(LEFT(E291,LEN(E291)-2)),IF(LOWER(E291)="race","race",E291)))))</f>
        <v/>
      </c>
    </row>
    <row r="292" ht="15" customHeight="1" s="21">
      <c r="A292" s="32" t="n"/>
      <c r="B292" s="32" t="n"/>
      <c r="C292" s="32" t="n"/>
      <c r="D292" s="35" t="n"/>
      <c r="E292" s="32" t="n"/>
      <c r="F292" s="32" t="n"/>
      <c r="G292" s="32" t="n"/>
      <c r="H292" s="33">
        <f>IF(A292="","",COUNTIFS('Run sessions'!$A$2:$A$401,A292,'Run sessions'!$B$2:$B$401,B292))</f>
        <v/>
      </c>
      <c r="I292" s="33">
        <f>IF(OR(A292="",D292=""),"",IFERROR(ROUND(D292*IF(INDEX(Programmes!$L$2:$L$10,MATCH(A292,Programmes!$A$2:$A$10,0))="",INDEX(Programmes!$K$2:$K$10,MATCH(A292,Programmes!$A$2:$A$10,0)),INDEX(Programmes!$L$2:$L$10,MATCH(A292,Programmes!$A$2:$A$10,0))),1),""))</f>
        <v/>
      </c>
      <c r="J292" s="33">
        <f>IF(I292="","",IF(LOWER(E292)="auto",ROUND(I292*Rules!$C$8,1),IF(RIGHT(E292,1)="%",ROUND(I292*VALUE(LEFT(E292,LEN(E292)-1))/100,1),IF(RIGHT(LOWER(E292),2)="km",VALUE(LEFT(E292,LEN(E292)-2)),IF(LOWER(E292)="race","race",E292)))))</f>
        <v/>
      </c>
    </row>
    <row r="293" ht="15" customHeight="1" s="21">
      <c r="A293" s="32" t="n"/>
      <c r="B293" s="32" t="n"/>
      <c r="C293" s="32" t="n"/>
      <c r="D293" s="35" t="n"/>
      <c r="E293" s="32" t="n"/>
      <c r="F293" s="32" t="n"/>
      <c r="G293" s="32" t="n"/>
      <c r="H293" s="33">
        <f>IF(A293="","",COUNTIFS('Run sessions'!$A$2:$A$401,A293,'Run sessions'!$B$2:$B$401,B293))</f>
        <v/>
      </c>
      <c r="I293" s="33">
        <f>IF(OR(A293="",D293=""),"",IFERROR(ROUND(D293*IF(INDEX(Programmes!$L$2:$L$10,MATCH(A293,Programmes!$A$2:$A$10,0))="",INDEX(Programmes!$K$2:$K$10,MATCH(A293,Programmes!$A$2:$A$10,0)),INDEX(Programmes!$L$2:$L$10,MATCH(A293,Programmes!$A$2:$A$10,0))),1),""))</f>
        <v/>
      </c>
      <c r="J293" s="33">
        <f>IF(I293="","",IF(LOWER(E293)="auto",ROUND(I293*Rules!$C$8,1),IF(RIGHT(E293,1)="%",ROUND(I293*VALUE(LEFT(E293,LEN(E293)-1))/100,1),IF(RIGHT(LOWER(E293),2)="km",VALUE(LEFT(E293,LEN(E293)-2)),IF(LOWER(E293)="race","race",E293)))))</f>
        <v/>
      </c>
    </row>
    <row r="294" ht="15" customHeight="1" s="21">
      <c r="A294" s="32" t="n"/>
      <c r="B294" s="32" t="n"/>
      <c r="C294" s="32" t="n"/>
      <c r="D294" s="35" t="n"/>
      <c r="E294" s="32" t="n"/>
      <c r="F294" s="32" t="n"/>
      <c r="G294" s="32" t="n"/>
      <c r="H294" s="33">
        <f>IF(A294="","",COUNTIFS('Run sessions'!$A$2:$A$401,A294,'Run sessions'!$B$2:$B$401,B294))</f>
        <v/>
      </c>
      <c r="I294" s="33">
        <f>IF(OR(A294="",D294=""),"",IFERROR(ROUND(D294*IF(INDEX(Programmes!$L$2:$L$10,MATCH(A294,Programmes!$A$2:$A$10,0))="",INDEX(Programmes!$K$2:$K$10,MATCH(A294,Programmes!$A$2:$A$10,0)),INDEX(Programmes!$L$2:$L$10,MATCH(A294,Programmes!$A$2:$A$10,0))),1),""))</f>
        <v/>
      </c>
      <c r="J294" s="33">
        <f>IF(I294="","",IF(LOWER(E294)="auto",ROUND(I294*Rules!$C$8,1),IF(RIGHT(E294,1)="%",ROUND(I294*VALUE(LEFT(E294,LEN(E294)-1))/100,1),IF(RIGHT(LOWER(E294),2)="km",VALUE(LEFT(E294,LEN(E294)-2)),IF(LOWER(E294)="race","race",E294)))))</f>
        <v/>
      </c>
    </row>
    <row r="295" ht="15" customHeight="1" s="21">
      <c r="A295" s="32" t="n"/>
      <c r="B295" s="32" t="n"/>
      <c r="C295" s="32" t="n"/>
      <c r="D295" s="35" t="n"/>
      <c r="E295" s="32" t="n"/>
      <c r="F295" s="32" t="n"/>
      <c r="G295" s="32" t="n"/>
      <c r="H295" s="33">
        <f>IF(A295="","",COUNTIFS('Run sessions'!$A$2:$A$401,A295,'Run sessions'!$B$2:$B$401,B295))</f>
        <v/>
      </c>
      <c r="I295" s="33">
        <f>IF(OR(A295="",D295=""),"",IFERROR(ROUND(D295*IF(INDEX(Programmes!$L$2:$L$10,MATCH(A295,Programmes!$A$2:$A$10,0))="",INDEX(Programmes!$K$2:$K$10,MATCH(A295,Programmes!$A$2:$A$10,0)),INDEX(Programmes!$L$2:$L$10,MATCH(A295,Programmes!$A$2:$A$10,0))),1),""))</f>
        <v/>
      </c>
      <c r="J295" s="33">
        <f>IF(I295="","",IF(LOWER(E295)="auto",ROUND(I295*Rules!$C$8,1),IF(RIGHT(E295,1)="%",ROUND(I295*VALUE(LEFT(E295,LEN(E295)-1))/100,1),IF(RIGHT(LOWER(E295),2)="km",VALUE(LEFT(E295,LEN(E295)-2)),IF(LOWER(E295)="race","race",E295)))))</f>
        <v/>
      </c>
    </row>
    <row r="296" ht="15" customHeight="1" s="21">
      <c r="A296" s="32" t="n"/>
      <c r="B296" s="32" t="n"/>
      <c r="C296" s="32" t="n"/>
      <c r="D296" s="35" t="n"/>
      <c r="E296" s="32" t="n"/>
      <c r="F296" s="32" t="n"/>
      <c r="G296" s="32" t="n"/>
      <c r="H296" s="33">
        <f>IF(A296="","",COUNTIFS('Run sessions'!$A$2:$A$401,A296,'Run sessions'!$B$2:$B$401,B296))</f>
        <v/>
      </c>
      <c r="I296" s="33">
        <f>IF(OR(A296="",D296=""),"",IFERROR(ROUND(D296*IF(INDEX(Programmes!$L$2:$L$10,MATCH(A296,Programmes!$A$2:$A$10,0))="",INDEX(Programmes!$K$2:$K$10,MATCH(A296,Programmes!$A$2:$A$10,0)),INDEX(Programmes!$L$2:$L$10,MATCH(A296,Programmes!$A$2:$A$10,0))),1),""))</f>
        <v/>
      </c>
      <c r="J296" s="33">
        <f>IF(I296="","",IF(LOWER(E296)="auto",ROUND(I296*Rules!$C$8,1),IF(RIGHT(E296,1)="%",ROUND(I296*VALUE(LEFT(E296,LEN(E296)-1))/100,1),IF(RIGHT(LOWER(E296),2)="km",VALUE(LEFT(E296,LEN(E296)-2)),IF(LOWER(E296)="race","race",E296)))))</f>
        <v/>
      </c>
    </row>
    <row r="297" ht="15" customHeight="1" s="21">
      <c r="A297" s="32" t="n"/>
      <c r="B297" s="32" t="n"/>
      <c r="C297" s="32" t="n"/>
      <c r="D297" s="35" t="n"/>
      <c r="E297" s="32" t="n"/>
      <c r="F297" s="32" t="n"/>
      <c r="G297" s="32" t="n"/>
      <c r="H297" s="33">
        <f>IF(A297="","",COUNTIFS('Run sessions'!$A$2:$A$401,A297,'Run sessions'!$B$2:$B$401,B297))</f>
        <v/>
      </c>
      <c r="I297" s="33">
        <f>IF(OR(A297="",D297=""),"",IFERROR(ROUND(D297*IF(INDEX(Programmes!$L$2:$L$10,MATCH(A297,Programmes!$A$2:$A$10,0))="",INDEX(Programmes!$K$2:$K$10,MATCH(A297,Programmes!$A$2:$A$10,0)),INDEX(Programmes!$L$2:$L$10,MATCH(A297,Programmes!$A$2:$A$10,0))),1),""))</f>
        <v/>
      </c>
      <c r="J297" s="33">
        <f>IF(I297="","",IF(LOWER(E297)="auto",ROUND(I297*Rules!$C$8,1),IF(RIGHT(E297,1)="%",ROUND(I297*VALUE(LEFT(E297,LEN(E297)-1))/100,1),IF(RIGHT(LOWER(E297),2)="km",VALUE(LEFT(E297,LEN(E297)-2)),IF(LOWER(E297)="race","race",E297)))))</f>
        <v/>
      </c>
    </row>
    <row r="298" ht="15" customHeight="1" s="21">
      <c r="A298" s="32" t="n"/>
      <c r="B298" s="32" t="n"/>
      <c r="C298" s="32" t="n"/>
      <c r="D298" s="35" t="n"/>
      <c r="E298" s="32" t="n"/>
      <c r="F298" s="32" t="n"/>
      <c r="G298" s="32" t="n"/>
      <c r="H298" s="33">
        <f>IF(A298="","",COUNTIFS('Run sessions'!$A$2:$A$401,A298,'Run sessions'!$B$2:$B$401,B298))</f>
        <v/>
      </c>
      <c r="I298" s="33">
        <f>IF(OR(A298="",D298=""),"",IFERROR(ROUND(D298*IF(INDEX(Programmes!$L$2:$L$10,MATCH(A298,Programmes!$A$2:$A$10,0))="",INDEX(Programmes!$K$2:$K$10,MATCH(A298,Programmes!$A$2:$A$10,0)),INDEX(Programmes!$L$2:$L$10,MATCH(A298,Programmes!$A$2:$A$10,0))),1),""))</f>
        <v/>
      </c>
      <c r="J298" s="33">
        <f>IF(I298="","",IF(LOWER(E298)="auto",ROUND(I298*Rules!$C$8,1),IF(RIGHT(E298,1)="%",ROUND(I298*VALUE(LEFT(E298,LEN(E298)-1))/100,1),IF(RIGHT(LOWER(E298),2)="km",VALUE(LEFT(E298,LEN(E298)-2)),IF(LOWER(E298)="race","race",E298)))))</f>
        <v/>
      </c>
    </row>
    <row r="299" ht="15" customHeight="1" s="21">
      <c r="A299" s="32" t="n"/>
      <c r="B299" s="32" t="n"/>
      <c r="C299" s="32" t="n"/>
      <c r="D299" s="35" t="n"/>
      <c r="E299" s="32" t="n"/>
      <c r="F299" s="32" t="n"/>
      <c r="G299" s="32" t="n"/>
      <c r="H299" s="33">
        <f>IF(A299="","",COUNTIFS('Run sessions'!$A$2:$A$401,A299,'Run sessions'!$B$2:$B$401,B299))</f>
        <v/>
      </c>
      <c r="I299" s="33">
        <f>IF(OR(A299="",D299=""),"",IFERROR(ROUND(D299*IF(INDEX(Programmes!$L$2:$L$10,MATCH(A299,Programmes!$A$2:$A$10,0))="",INDEX(Programmes!$K$2:$K$10,MATCH(A299,Programmes!$A$2:$A$10,0)),INDEX(Programmes!$L$2:$L$10,MATCH(A299,Programmes!$A$2:$A$10,0))),1),""))</f>
        <v/>
      </c>
      <c r="J299" s="33">
        <f>IF(I299="","",IF(LOWER(E299)="auto",ROUND(I299*Rules!$C$8,1),IF(RIGHT(E299,1)="%",ROUND(I299*VALUE(LEFT(E299,LEN(E299)-1))/100,1),IF(RIGHT(LOWER(E299),2)="km",VALUE(LEFT(E299,LEN(E299)-2)),IF(LOWER(E299)="race","race",E299)))))</f>
        <v/>
      </c>
    </row>
    <row r="300" ht="15" customHeight="1" s="21">
      <c r="A300" s="32" t="n"/>
      <c r="B300" s="32" t="n"/>
      <c r="C300" s="32" t="n"/>
      <c r="D300" s="35" t="n"/>
      <c r="E300" s="32" t="n"/>
      <c r="F300" s="32" t="n"/>
      <c r="G300" s="32" t="n"/>
      <c r="H300" s="33">
        <f>IF(A300="","",COUNTIFS('Run sessions'!$A$2:$A$401,A300,'Run sessions'!$B$2:$B$401,B300))</f>
        <v/>
      </c>
      <c r="I300" s="33">
        <f>IF(OR(A300="",D300=""),"",IFERROR(ROUND(D300*IF(INDEX(Programmes!$L$2:$L$10,MATCH(A300,Programmes!$A$2:$A$10,0))="",INDEX(Programmes!$K$2:$K$10,MATCH(A300,Programmes!$A$2:$A$10,0)),INDEX(Programmes!$L$2:$L$10,MATCH(A300,Programmes!$A$2:$A$10,0))),1),""))</f>
        <v/>
      </c>
      <c r="J300" s="33">
        <f>IF(I300="","",IF(LOWER(E300)="auto",ROUND(I300*Rules!$C$8,1),IF(RIGHT(E300,1)="%",ROUND(I300*VALUE(LEFT(E300,LEN(E300)-1))/100,1),IF(RIGHT(LOWER(E300),2)="km",VALUE(LEFT(E300,LEN(E300)-2)),IF(LOWER(E300)="race","race",E300)))))</f>
        <v/>
      </c>
    </row>
    <row r="301" ht="15" customHeight="1" s="21">
      <c r="A301" s="32" t="n"/>
      <c r="B301" s="32" t="n"/>
      <c r="C301" s="32" t="n"/>
      <c r="D301" s="35" t="n"/>
      <c r="E301" s="32" t="n"/>
      <c r="F301" s="32" t="n"/>
      <c r="G301" s="32" t="n"/>
      <c r="H301" s="33">
        <f>IF(A301="","",COUNTIFS('Run sessions'!$A$2:$A$401,A301,'Run sessions'!$B$2:$B$401,B301))</f>
        <v/>
      </c>
      <c r="I301" s="33">
        <f>IF(OR(A301="",D301=""),"",IFERROR(ROUND(D301*IF(INDEX(Programmes!$L$2:$L$10,MATCH(A301,Programmes!$A$2:$A$10,0))="",INDEX(Programmes!$K$2:$K$10,MATCH(A301,Programmes!$A$2:$A$10,0)),INDEX(Programmes!$L$2:$L$10,MATCH(A301,Programmes!$A$2:$A$10,0))),1),""))</f>
        <v/>
      </c>
      <c r="J301" s="33">
        <f>IF(I301="","",IF(LOWER(E301)="auto",ROUND(I301*Rules!$C$8,1),IF(RIGHT(E301,1)="%",ROUND(I301*VALUE(LEFT(E301,LEN(E301)-1))/100,1),IF(RIGHT(LOWER(E301),2)="km",VALUE(LEFT(E301,LEN(E301)-2)),IF(LOWER(E301)="race","race",E301)))))</f>
        <v/>
      </c>
    </row>
    <row r="302" ht="15" customHeight="1" s="21">
      <c r="A302" s="32" t="n"/>
      <c r="B302" s="32" t="n"/>
      <c r="C302" s="32" t="n"/>
      <c r="D302" s="35" t="n"/>
      <c r="E302" s="32" t="n"/>
      <c r="F302" s="32" t="n"/>
      <c r="G302" s="32" t="n"/>
      <c r="H302" s="33">
        <f>IF(A302="","",COUNTIFS('Run sessions'!$A$2:$A$401,A302,'Run sessions'!$B$2:$B$401,B302))</f>
        <v/>
      </c>
      <c r="I302" s="33">
        <f>IF(OR(A302="",D302=""),"",IFERROR(ROUND(D302*IF(INDEX(Programmes!$L$2:$L$10,MATCH(A302,Programmes!$A$2:$A$10,0))="",INDEX(Programmes!$K$2:$K$10,MATCH(A302,Programmes!$A$2:$A$10,0)),INDEX(Programmes!$L$2:$L$10,MATCH(A302,Programmes!$A$2:$A$10,0))),1),""))</f>
        <v/>
      </c>
      <c r="J302" s="33">
        <f>IF(I302="","",IF(LOWER(E302)="auto",ROUND(I302*Rules!$C$8,1),IF(RIGHT(E302,1)="%",ROUND(I302*VALUE(LEFT(E302,LEN(E302)-1))/100,1),IF(RIGHT(LOWER(E302),2)="km",VALUE(LEFT(E302,LEN(E302)-2)),IF(LOWER(E302)="race","race",E302)))))</f>
        <v/>
      </c>
    </row>
    <row r="303" ht="15" customHeight="1" s="21">
      <c r="A303" s="32" t="n"/>
      <c r="B303" s="32" t="n"/>
      <c r="C303" s="32" t="n"/>
      <c r="D303" s="35" t="n"/>
      <c r="E303" s="32" t="n"/>
      <c r="F303" s="32" t="n"/>
      <c r="G303" s="32" t="n"/>
      <c r="H303" s="33">
        <f>IF(A303="","",COUNTIFS('Run sessions'!$A$2:$A$401,A303,'Run sessions'!$B$2:$B$401,B303))</f>
        <v/>
      </c>
      <c r="I303" s="33">
        <f>IF(OR(A303="",D303=""),"",IFERROR(ROUND(D303*IF(INDEX(Programmes!$L$2:$L$10,MATCH(A303,Programmes!$A$2:$A$10,0))="",INDEX(Programmes!$K$2:$K$10,MATCH(A303,Programmes!$A$2:$A$10,0)),INDEX(Programmes!$L$2:$L$10,MATCH(A303,Programmes!$A$2:$A$10,0))),1),""))</f>
        <v/>
      </c>
      <c r="J303" s="33">
        <f>IF(I303="","",IF(LOWER(E303)="auto",ROUND(I303*Rules!$C$8,1),IF(RIGHT(E303,1)="%",ROUND(I303*VALUE(LEFT(E303,LEN(E303)-1))/100,1),IF(RIGHT(LOWER(E303),2)="km",VALUE(LEFT(E303,LEN(E303)-2)),IF(LOWER(E303)="race","race",E303)))))</f>
        <v/>
      </c>
    </row>
    <row r="304" ht="15" customHeight="1" s="21">
      <c r="A304" s="32" t="n"/>
      <c r="B304" s="32" t="n"/>
      <c r="C304" s="32" t="n"/>
      <c r="D304" s="35" t="n"/>
      <c r="E304" s="32" t="n"/>
      <c r="F304" s="32" t="n"/>
      <c r="G304" s="32" t="n"/>
      <c r="H304" s="33">
        <f>IF(A304="","",COUNTIFS('Run sessions'!$A$2:$A$401,A304,'Run sessions'!$B$2:$B$401,B304))</f>
        <v/>
      </c>
      <c r="I304" s="33">
        <f>IF(OR(A304="",D304=""),"",IFERROR(ROUND(D304*IF(INDEX(Programmes!$L$2:$L$10,MATCH(A304,Programmes!$A$2:$A$10,0))="",INDEX(Programmes!$K$2:$K$10,MATCH(A304,Programmes!$A$2:$A$10,0)),INDEX(Programmes!$L$2:$L$10,MATCH(A304,Programmes!$A$2:$A$10,0))),1),""))</f>
        <v/>
      </c>
      <c r="J304" s="33">
        <f>IF(I304="","",IF(LOWER(E304)="auto",ROUND(I304*Rules!$C$8,1),IF(RIGHT(E304,1)="%",ROUND(I304*VALUE(LEFT(E304,LEN(E304)-1))/100,1),IF(RIGHT(LOWER(E304),2)="km",VALUE(LEFT(E304,LEN(E304)-2)),IF(LOWER(E304)="race","race",E304)))))</f>
        <v/>
      </c>
    </row>
    <row r="305" ht="15" customHeight="1" s="21">
      <c r="A305" s="32" t="n"/>
      <c r="B305" s="32" t="n"/>
      <c r="C305" s="32" t="n"/>
      <c r="D305" s="35" t="n"/>
      <c r="E305" s="32" t="n"/>
      <c r="F305" s="32" t="n"/>
      <c r="G305" s="32" t="n"/>
      <c r="H305" s="33">
        <f>IF(A305="","",COUNTIFS('Run sessions'!$A$2:$A$401,A305,'Run sessions'!$B$2:$B$401,B305))</f>
        <v/>
      </c>
      <c r="I305" s="33">
        <f>IF(OR(A305="",D305=""),"",IFERROR(ROUND(D305*IF(INDEX(Programmes!$L$2:$L$10,MATCH(A305,Programmes!$A$2:$A$10,0))="",INDEX(Programmes!$K$2:$K$10,MATCH(A305,Programmes!$A$2:$A$10,0)),INDEX(Programmes!$L$2:$L$10,MATCH(A305,Programmes!$A$2:$A$10,0))),1),""))</f>
        <v/>
      </c>
      <c r="J305" s="33">
        <f>IF(I305="","",IF(LOWER(E305)="auto",ROUND(I305*Rules!$C$8,1),IF(RIGHT(E305,1)="%",ROUND(I305*VALUE(LEFT(E305,LEN(E305)-1))/100,1),IF(RIGHT(LOWER(E305),2)="km",VALUE(LEFT(E305,LEN(E305)-2)),IF(LOWER(E305)="race","race",E305)))))</f>
        <v/>
      </c>
    </row>
    <row r="306" ht="15" customHeight="1" s="21">
      <c r="A306" s="32" t="n"/>
      <c r="B306" s="32" t="n"/>
      <c r="C306" s="32" t="n"/>
      <c r="D306" s="35" t="n"/>
      <c r="E306" s="32" t="n"/>
      <c r="F306" s="32" t="n"/>
      <c r="G306" s="32" t="n"/>
      <c r="H306" s="33">
        <f>IF(A306="","",COUNTIFS('Run sessions'!$A$2:$A$401,A306,'Run sessions'!$B$2:$B$401,B306))</f>
        <v/>
      </c>
      <c r="I306" s="33">
        <f>IF(OR(A306="",D306=""),"",IFERROR(ROUND(D306*IF(INDEX(Programmes!$L$2:$L$10,MATCH(A306,Programmes!$A$2:$A$10,0))="",INDEX(Programmes!$K$2:$K$10,MATCH(A306,Programmes!$A$2:$A$10,0)),INDEX(Programmes!$L$2:$L$10,MATCH(A306,Programmes!$A$2:$A$10,0))),1),""))</f>
        <v/>
      </c>
      <c r="J306" s="33">
        <f>IF(I306="","",IF(LOWER(E306)="auto",ROUND(I306*Rules!$C$8,1),IF(RIGHT(E306,1)="%",ROUND(I306*VALUE(LEFT(E306,LEN(E306)-1))/100,1),IF(RIGHT(LOWER(E306),2)="km",VALUE(LEFT(E306,LEN(E306)-2)),IF(LOWER(E306)="race","race",E306)))))</f>
        <v/>
      </c>
    </row>
    <row r="307" ht="15" customHeight="1" s="21">
      <c r="A307" s="32" t="n"/>
      <c r="B307" s="32" t="n"/>
      <c r="C307" s="32" t="n"/>
      <c r="D307" s="35" t="n"/>
      <c r="E307" s="32" t="n"/>
      <c r="F307" s="32" t="n"/>
      <c r="G307" s="32" t="n"/>
      <c r="H307" s="33">
        <f>IF(A307="","",COUNTIFS('Run sessions'!$A$2:$A$401,A307,'Run sessions'!$B$2:$B$401,B307))</f>
        <v/>
      </c>
      <c r="I307" s="33">
        <f>IF(OR(A307="",D307=""),"",IFERROR(ROUND(D307*IF(INDEX(Programmes!$L$2:$L$10,MATCH(A307,Programmes!$A$2:$A$10,0))="",INDEX(Programmes!$K$2:$K$10,MATCH(A307,Programmes!$A$2:$A$10,0)),INDEX(Programmes!$L$2:$L$10,MATCH(A307,Programmes!$A$2:$A$10,0))),1),""))</f>
        <v/>
      </c>
      <c r="J307" s="33">
        <f>IF(I307="","",IF(LOWER(E307)="auto",ROUND(I307*Rules!$C$8,1),IF(RIGHT(E307,1)="%",ROUND(I307*VALUE(LEFT(E307,LEN(E307)-1))/100,1),IF(RIGHT(LOWER(E307),2)="km",VALUE(LEFT(E307,LEN(E307)-2)),IF(LOWER(E307)="race","race",E307)))))</f>
        <v/>
      </c>
    </row>
    <row r="308" ht="15" customHeight="1" s="21">
      <c r="A308" s="32" t="n"/>
      <c r="B308" s="32" t="n"/>
      <c r="C308" s="32" t="n"/>
      <c r="D308" s="35" t="n"/>
      <c r="E308" s="32" t="n"/>
      <c r="F308" s="32" t="n"/>
      <c r="G308" s="32" t="n"/>
      <c r="H308" s="33">
        <f>IF(A308="","",COUNTIFS('Run sessions'!$A$2:$A$401,A308,'Run sessions'!$B$2:$B$401,B308))</f>
        <v/>
      </c>
      <c r="I308" s="33">
        <f>IF(OR(A308="",D308=""),"",IFERROR(ROUND(D308*IF(INDEX(Programmes!$L$2:$L$10,MATCH(A308,Programmes!$A$2:$A$10,0))="",INDEX(Programmes!$K$2:$K$10,MATCH(A308,Programmes!$A$2:$A$10,0)),INDEX(Programmes!$L$2:$L$10,MATCH(A308,Programmes!$A$2:$A$10,0))),1),""))</f>
        <v/>
      </c>
      <c r="J308" s="33">
        <f>IF(I308="","",IF(LOWER(E308)="auto",ROUND(I308*Rules!$C$8,1),IF(RIGHT(E308,1)="%",ROUND(I308*VALUE(LEFT(E308,LEN(E308)-1))/100,1),IF(RIGHT(LOWER(E308),2)="km",VALUE(LEFT(E308,LEN(E308)-2)),IF(LOWER(E308)="race","race",E308)))))</f>
        <v/>
      </c>
    </row>
    <row r="309" ht="15" customHeight="1" s="21">
      <c r="A309" s="32" t="n"/>
      <c r="B309" s="32" t="n"/>
      <c r="C309" s="32" t="n"/>
      <c r="D309" s="35" t="n"/>
      <c r="E309" s="32" t="n"/>
      <c r="F309" s="32" t="n"/>
      <c r="G309" s="32" t="n"/>
      <c r="H309" s="33">
        <f>IF(A309="","",COUNTIFS('Run sessions'!$A$2:$A$401,A309,'Run sessions'!$B$2:$B$401,B309))</f>
        <v/>
      </c>
      <c r="I309" s="33">
        <f>IF(OR(A309="",D309=""),"",IFERROR(ROUND(D309*IF(INDEX(Programmes!$L$2:$L$10,MATCH(A309,Programmes!$A$2:$A$10,0))="",INDEX(Programmes!$K$2:$K$10,MATCH(A309,Programmes!$A$2:$A$10,0)),INDEX(Programmes!$L$2:$L$10,MATCH(A309,Programmes!$A$2:$A$10,0))),1),""))</f>
        <v/>
      </c>
      <c r="J309" s="33">
        <f>IF(I309="","",IF(LOWER(E309)="auto",ROUND(I309*Rules!$C$8,1),IF(RIGHT(E309,1)="%",ROUND(I309*VALUE(LEFT(E309,LEN(E309)-1))/100,1),IF(RIGHT(LOWER(E309),2)="km",VALUE(LEFT(E309,LEN(E309)-2)),IF(LOWER(E309)="race","race",E309)))))</f>
        <v/>
      </c>
    </row>
    <row r="310" ht="15" customHeight="1" s="21">
      <c r="A310" s="32" t="n"/>
      <c r="B310" s="32" t="n"/>
      <c r="C310" s="32" t="n"/>
      <c r="D310" s="35" t="n"/>
      <c r="E310" s="32" t="n"/>
      <c r="F310" s="32" t="n"/>
      <c r="G310" s="32" t="n"/>
      <c r="H310" s="33">
        <f>IF(A310="","",COUNTIFS('Run sessions'!$A$2:$A$401,A310,'Run sessions'!$B$2:$B$401,B310))</f>
        <v/>
      </c>
      <c r="I310" s="33">
        <f>IF(OR(A310="",D310=""),"",IFERROR(ROUND(D310*IF(INDEX(Programmes!$L$2:$L$10,MATCH(A310,Programmes!$A$2:$A$10,0))="",INDEX(Programmes!$K$2:$K$10,MATCH(A310,Programmes!$A$2:$A$10,0)),INDEX(Programmes!$L$2:$L$10,MATCH(A310,Programmes!$A$2:$A$10,0))),1),""))</f>
        <v/>
      </c>
      <c r="J310" s="33">
        <f>IF(I310="","",IF(LOWER(E310)="auto",ROUND(I310*Rules!$C$8,1),IF(RIGHT(E310,1)="%",ROUND(I310*VALUE(LEFT(E310,LEN(E310)-1))/100,1),IF(RIGHT(LOWER(E310),2)="km",VALUE(LEFT(E310,LEN(E310)-2)),IF(LOWER(E310)="race","race",E310)))))</f>
        <v/>
      </c>
    </row>
    <row r="311" ht="15" customHeight="1" s="21">
      <c r="A311" s="32" t="n"/>
      <c r="B311" s="32" t="n"/>
      <c r="C311" s="32" t="n"/>
      <c r="D311" s="35" t="n"/>
      <c r="E311" s="32" t="n"/>
      <c r="F311" s="32" t="n"/>
      <c r="G311" s="32" t="n"/>
      <c r="H311" s="33">
        <f>IF(A311="","",COUNTIFS('Run sessions'!$A$2:$A$401,A311,'Run sessions'!$B$2:$B$401,B311))</f>
        <v/>
      </c>
      <c r="I311" s="33">
        <f>IF(OR(A311="",D311=""),"",IFERROR(ROUND(D311*IF(INDEX(Programmes!$L$2:$L$10,MATCH(A311,Programmes!$A$2:$A$10,0))="",INDEX(Programmes!$K$2:$K$10,MATCH(A311,Programmes!$A$2:$A$10,0)),INDEX(Programmes!$L$2:$L$10,MATCH(A311,Programmes!$A$2:$A$10,0))),1),""))</f>
        <v/>
      </c>
      <c r="J311" s="33">
        <f>IF(I311="","",IF(LOWER(E311)="auto",ROUND(I311*Rules!$C$8,1),IF(RIGHT(E311,1)="%",ROUND(I311*VALUE(LEFT(E311,LEN(E311)-1))/100,1),IF(RIGHT(LOWER(E311),2)="km",VALUE(LEFT(E311,LEN(E311)-2)),IF(LOWER(E311)="race","race",E311)))))</f>
        <v/>
      </c>
    </row>
    <row r="312" ht="15" customHeight="1" s="21">
      <c r="A312" s="32" t="n"/>
      <c r="B312" s="32" t="n"/>
      <c r="C312" s="32" t="n"/>
      <c r="D312" s="35" t="n"/>
      <c r="E312" s="32" t="n"/>
      <c r="F312" s="32" t="n"/>
      <c r="G312" s="32" t="n"/>
      <c r="H312" s="33">
        <f>IF(A312="","",COUNTIFS('Run sessions'!$A$2:$A$401,A312,'Run sessions'!$B$2:$B$401,B312))</f>
        <v/>
      </c>
      <c r="I312" s="33">
        <f>IF(OR(A312="",D312=""),"",IFERROR(ROUND(D312*IF(INDEX(Programmes!$L$2:$L$10,MATCH(A312,Programmes!$A$2:$A$10,0))="",INDEX(Programmes!$K$2:$K$10,MATCH(A312,Programmes!$A$2:$A$10,0)),INDEX(Programmes!$L$2:$L$10,MATCH(A312,Programmes!$A$2:$A$10,0))),1),""))</f>
        <v/>
      </c>
      <c r="J312" s="33">
        <f>IF(I312="","",IF(LOWER(E312)="auto",ROUND(I312*Rules!$C$8,1),IF(RIGHT(E312,1)="%",ROUND(I312*VALUE(LEFT(E312,LEN(E312)-1))/100,1),IF(RIGHT(LOWER(E312),2)="km",VALUE(LEFT(E312,LEN(E312)-2)),IF(LOWER(E312)="race","race",E312)))))</f>
        <v/>
      </c>
    </row>
    <row r="313" ht="15" customHeight="1" s="21">
      <c r="A313" s="32" t="n"/>
      <c r="B313" s="32" t="n"/>
      <c r="C313" s="32" t="n"/>
      <c r="D313" s="35" t="n"/>
      <c r="E313" s="32" t="n"/>
      <c r="F313" s="32" t="n"/>
      <c r="G313" s="32" t="n"/>
      <c r="H313" s="33">
        <f>IF(A313="","",COUNTIFS('Run sessions'!$A$2:$A$401,A313,'Run sessions'!$B$2:$B$401,B313))</f>
        <v/>
      </c>
      <c r="I313" s="33">
        <f>IF(OR(A313="",D313=""),"",IFERROR(ROUND(D313*IF(INDEX(Programmes!$L$2:$L$10,MATCH(A313,Programmes!$A$2:$A$10,0))="",INDEX(Programmes!$K$2:$K$10,MATCH(A313,Programmes!$A$2:$A$10,0)),INDEX(Programmes!$L$2:$L$10,MATCH(A313,Programmes!$A$2:$A$10,0))),1),""))</f>
        <v/>
      </c>
      <c r="J313" s="33">
        <f>IF(I313="","",IF(LOWER(E313)="auto",ROUND(I313*Rules!$C$8,1),IF(RIGHT(E313,1)="%",ROUND(I313*VALUE(LEFT(E313,LEN(E313)-1))/100,1),IF(RIGHT(LOWER(E313),2)="km",VALUE(LEFT(E313,LEN(E313)-2)),IF(LOWER(E313)="race","race",E313)))))</f>
        <v/>
      </c>
    </row>
    <row r="314" ht="15" customHeight="1" s="21">
      <c r="A314" s="32" t="n"/>
      <c r="B314" s="32" t="n"/>
      <c r="C314" s="32" t="n"/>
      <c r="D314" s="35" t="n"/>
      <c r="E314" s="32" t="n"/>
      <c r="F314" s="32" t="n"/>
      <c r="G314" s="32" t="n"/>
      <c r="H314" s="33">
        <f>IF(A314="","",COUNTIFS('Run sessions'!$A$2:$A$401,A314,'Run sessions'!$B$2:$B$401,B314))</f>
        <v/>
      </c>
      <c r="I314" s="33">
        <f>IF(OR(A314="",D314=""),"",IFERROR(ROUND(D314*IF(INDEX(Programmes!$L$2:$L$10,MATCH(A314,Programmes!$A$2:$A$10,0))="",INDEX(Programmes!$K$2:$K$10,MATCH(A314,Programmes!$A$2:$A$10,0)),INDEX(Programmes!$L$2:$L$10,MATCH(A314,Programmes!$A$2:$A$10,0))),1),""))</f>
        <v/>
      </c>
      <c r="J314" s="33">
        <f>IF(I314="","",IF(LOWER(E314)="auto",ROUND(I314*Rules!$C$8,1),IF(RIGHT(E314,1)="%",ROUND(I314*VALUE(LEFT(E314,LEN(E314)-1))/100,1),IF(RIGHT(LOWER(E314),2)="km",VALUE(LEFT(E314,LEN(E314)-2)),IF(LOWER(E314)="race","race",E314)))))</f>
        <v/>
      </c>
    </row>
    <row r="315" ht="15" customHeight="1" s="21">
      <c r="A315" s="32" t="n"/>
      <c r="B315" s="32" t="n"/>
      <c r="C315" s="32" t="n"/>
      <c r="D315" s="35" t="n"/>
      <c r="E315" s="32" t="n"/>
      <c r="F315" s="32" t="n"/>
      <c r="G315" s="32" t="n"/>
      <c r="H315" s="33">
        <f>IF(A315="","",COUNTIFS('Run sessions'!$A$2:$A$401,A315,'Run sessions'!$B$2:$B$401,B315))</f>
        <v/>
      </c>
      <c r="I315" s="33">
        <f>IF(OR(A315="",D315=""),"",IFERROR(ROUND(D315*IF(INDEX(Programmes!$L$2:$L$10,MATCH(A315,Programmes!$A$2:$A$10,0))="",INDEX(Programmes!$K$2:$K$10,MATCH(A315,Programmes!$A$2:$A$10,0)),INDEX(Programmes!$L$2:$L$10,MATCH(A315,Programmes!$A$2:$A$10,0))),1),""))</f>
        <v/>
      </c>
      <c r="J315" s="33">
        <f>IF(I315="","",IF(LOWER(E315)="auto",ROUND(I315*Rules!$C$8,1),IF(RIGHT(E315,1)="%",ROUND(I315*VALUE(LEFT(E315,LEN(E315)-1))/100,1),IF(RIGHT(LOWER(E315),2)="km",VALUE(LEFT(E315,LEN(E315)-2)),IF(LOWER(E315)="race","race",E315)))))</f>
        <v/>
      </c>
    </row>
    <row r="316" ht="15" customHeight="1" s="21">
      <c r="A316" s="32" t="n"/>
      <c r="B316" s="32" t="n"/>
      <c r="C316" s="32" t="n"/>
      <c r="D316" s="35" t="n"/>
      <c r="E316" s="32" t="n"/>
      <c r="F316" s="32" t="n"/>
      <c r="G316" s="32" t="n"/>
      <c r="H316" s="33">
        <f>IF(A316="","",COUNTIFS('Run sessions'!$A$2:$A$401,A316,'Run sessions'!$B$2:$B$401,B316))</f>
        <v/>
      </c>
      <c r="I316" s="33">
        <f>IF(OR(A316="",D316=""),"",IFERROR(ROUND(D316*IF(INDEX(Programmes!$L$2:$L$10,MATCH(A316,Programmes!$A$2:$A$10,0))="",INDEX(Programmes!$K$2:$K$10,MATCH(A316,Programmes!$A$2:$A$10,0)),INDEX(Programmes!$L$2:$L$10,MATCH(A316,Programmes!$A$2:$A$10,0))),1),""))</f>
        <v/>
      </c>
      <c r="J316" s="33">
        <f>IF(I316="","",IF(LOWER(E316)="auto",ROUND(I316*Rules!$C$8,1),IF(RIGHT(E316,1)="%",ROUND(I316*VALUE(LEFT(E316,LEN(E316)-1))/100,1),IF(RIGHT(LOWER(E316),2)="km",VALUE(LEFT(E316,LEN(E316)-2)),IF(LOWER(E316)="race","race",E316)))))</f>
        <v/>
      </c>
    </row>
    <row r="317" ht="15" customHeight="1" s="21">
      <c r="A317" s="32" t="n"/>
      <c r="B317" s="32" t="n"/>
      <c r="C317" s="32" t="n"/>
      <c r="D317" s="35" t="n"/>
      <c r="E317" s="32" t="n"/>
      <c r="F317" s="32" t="n"/>
      <c r="G317" s="32" t="n"/>
      <c r="H317" s="33">
        <f>IF(A317="","",COUNTIFS('Run sessions'!$A$2:$A$401,A317,'Run sessions'!$B$2:$B$401,B317))</f>
        <v/>
      </c>
      <c r="I317" s="33">
        <f>IF(OR(A317="",D317=""),"",IFERROR(ROUND(D317*IF(INDEX(Programmes!$L$2:$L$10,MATCH(A317,Programmes!$A$2:$A$10,0))="",INDEX(Programmes!$K$2:$K$10,MATCH(A317,Programmes!$A$2:$A$10,0)),INDEX(Programmes!$L$2:$L$10,MATCH(A317,Programmes!$A$2:$A$10,0))),1),""))</f>
        <v/>
      </c>
      <c r="J317" s="33">
        <f>IF(I317="","",IF(LOWER(E317)="auto",ROUND(I317*Rules!$C$8,1),IF(RIGHT(E317,1)="%",ROUND(I317*VALUE(LEFT(E317,LEN(E317)-1))/100,1),IF(RIGHT(LOWER(E317),2)="km",VALUE(LEFT(E317,LEN(E317)-2)),IF(LOWER(E317)="race","race",E317)))))</f>
        <v/>
      </c>
    </row>
    <row r="318" ht="15" customHeight="1" s="21">
      <c r="A318" s="32" t="n"/>
      <c r="B318" s="32" t="n"/>
      <c r="C318" s="32" t="n"/>
      <c r="D318" s="35" t="n"/>
      <c r="E318" s="32" t="n"/>
      <c r="F318" s="32" t="n"/>
      <c r="G318" s="32" t="n"/>
      <c r="H318" s="33">
        <f>IF(A318="","",COUNTIFS('Run sessions'!$A$2:$A$401,A318,'Run sessions'!$B$2:$B$401,B318))</f>
        <v/>
      </c>
      <c r="I318" s="33">
        <f>IF(OR(A318="",D318=""),"",IFERROR(ROUND(D318*IF(INDEX(Programmes!$L$2:$L$10,MATCH(A318,Programmes!$A$2:$A$10,0))="",INDEX(Programmes!$K$2:$K$10,MATCH(A318,Programmes!$A$2:$A$10,0)),INDEX(Programmes!$L$2:$L$10,MATCH(A318,Programmes!$A$2:$A$10,0))),1),""))</f>
        <v/>
      </c>
      <c r="J318" s="33">
        <f>IF(I318="","",IF(LOWER(E318)="auto",ROUND(I318*Rules!$C$8,1),IF(RIGHT(E318,1)="%",ROUND(I318*VALUE(LEFT(E318,LEN(E318)-1))/100,1),IF(RIGHT(LOWER(E318),2)="km",VALUE(LEFT(E318,LEN(E318)-2)),IF(LOWER(E318)="race","race",E318)))))</f>
        <v/>
      </c>
    </row>
    <row r="319" ht="15" customHeight="1" s="21">
      <c r="A319" s="32" t="n"/>
      <c r="B319" s="32" t="n"/>
      <c r="C319" s="32" t="n"/>
      <c r="D319" s="35" t="n"/>
      <c r="E319" s="32" t="n"/>
      <c r="F319" s="32" t="n"/>
      <c r="G319" s="32" t="n"/>
      <c r="H319" s="33">
        <f>IF(A319="","",COUNTIFS('Run sessions'!$A$2:$A$401,A319,'Run sessions'!$B$2:$B$401,B319))</f>
        <v/>
      </c>
      <c r="I319" s="33">
        <f>IF(OR(A319="",D319=""),"",IFERROR(ROUND(D319*IF(INDEX(Programmes!$L$2:$L$10,MATCH(A319,Programmes!$A$2:$A$10,0))="",INDEX(Programmes!$K$2:$K$10,MATCH(A319,Programmes!$A$2:$A$10,0)),INDEX(Programmes!$L$2:$L$10,MATCH(A319,Programmes!$A$2:$A$10,0))),1),""))</f>
        <v/>
      </c>
      <c r="J319" s="33">
        <f>IF(I319="","",IF(LOWER(E319)="auto",ROUND(I319*Rules!$C$8,1),IF(RIGHT(E319,1)="%",ROUND(I319*VALUE(LEFT(E319,LEN(E319)-1))/100,1),IF(RIGHT(LOWER(E319),2)="km",VALUE(LEFT(E319,LEN(E319)-2)),IF(LOWER(E319)="race","race",E319)))))</f>
        <v/>
      </c>
    </row>
    <row r="320" ht="15" customHeight="1" s="21">
      <c r="A320" s="32" t="n"/>
      <c r="B320" s="32" t="n"/>
      <c r="C320" s="32" t="n"/>
      <c r="D320" s="35" t="n"/>
      <c r="E320" s="32" t="n"/>
      <c r="F320" s="32" t="n"/>
      <c r="G320" s="32" t="n"/>
      <c r="H320" s="33">
        <f>IF(A320="","",COUNTIFS('Run sessions'!$A$2:$A$401,A320,'Run sessions'!$B$2:$B$401,B320))</f>
        <v/>
      </c>
      <c r="I320" s="33">
        <f>IF(OR(A320="",D320=""),"",IFERROR(ROUND(D320*IF(INDEX(Programmes!$L$2:$L$10,MATCH(A320,Programmes!$A$2:$A$10,0))="",INDEX(Programmes!$K$2:$K$10,MATCH(A320,Programmes!$A$2:$A$10,0)),INDEX(Programmes!$L$2:$L$10,MATCH(A320,Programmes!$A$2:$A$10,0))),1),""))</f>
        <v/>
      </c>
      <c r="J320" s="33">
        <f>IF(I320="","",IF(LOWER(E320)="auto",ROUND(I320*Rules!$C$8,1),IF(RIGHT(E320,1)="%",ROUND(I320*VALUE(LEFT(E320,LEN(E320)-1))/100,1),IF(RIGHT(LOWER(E320),2)="km",VALUE(LEFT(E320,LEN(E320)-2)),IF(LOWER(E320)="race","race",E320)))))</f>
        <v/>
      </c>
    </row>
    <row r="321" ht="15" customHeight="1" s="21">
      <c r="A321" s="32" t="n"/>
      <c r="B321" s="32" t="n"/>
      <c r="C321" s="32" t="n"/>
      <c r="D321" s="35" t="n"/>
      <c r="E321" s="32" t="n"/>
      <c r="F321" s="32" t="n"/>
      <c r="G321" s="32" t="n"/>
      <c r="H321" s="33">
        <f>IF(A321="","",COUNTIFS('Run sessions'!$A$2:$A$401,A321,'Run sessions'!$B$2:$B$401,B321))</f>
        <v/>
      </c>
      <c r="I321" s="33">
        <f>IF(OR(A321="",D321=""),"",IFERROR(ROUND(D321*IF(INDEX(Programmes!$L$2:$L$10,MATCH(A321,Programmes!$A$2:$A$10,0))="",INDEX(Programmes!$K$2:$K$10,MATCH(A321,Programmes!$A$2:$A$10,0)),INDEX(Programmes!$L$2:$L$10,MATCH(A321,Programmes!$A$2:$A$10,0))),1),""))</f>
        <v/>
      </c>
      <c r="J321" s="33">
        <f>IF(I321="","",IF(LOWER(E321)="auto",ROUND(I321*Rules!$C$8,1),IF(RIGHT(E321,1)="%",ROUND(I321*VALUE(LEFT(E321,LEN(E321)-1))/100,1),IF(RIGHT(LOWER(E321),2)="km",VALUE(LEFT(E321,LEN(E321)-2)),IF(LOWER(E321)="race","race",E321)))))</f>
        <v/>
      </c>
    </row>
    <row r="322" ht="15" customHeight="1" s="21">
      <c r="A322" s="32" t="n"/>
      <c r="B322" s="32" t="n"/>
      <c r="C322" s="32" t="n"/>
      <c r="D322" s="35" t="n"/>
      <c r="E322" s="32" t="n"/>
      <c r="F322" s="32" t="n"/>
      <c r="G322" s="32" t="n"/>
      <c r="H322" s="33">
        <f>IF(A322="","",COUNTIFS('Run sessions'!$A$2:$A$401,A322,'Run sessions'!$B$2:$B$401,B322))</f>
        <v/>
      </c>
      <c r="I322" s="33">
        <f>IF(OR(A322="",D322=""),"",IFERROR(ROUND(D322*IF(INDEX(Programmes!$L$2:$L$10,MATCH(A322,Programmes!$A$2:$A$10,0))="",INDEX(Programmes!$K$2:$K$10,MATCH(A322,Programmes!$A$2:$A$10,0)),INDEX(Programmes!$L$2:$L$10,MATCH(A322,Programmes!$A$2:$A$10,0))),1),""))</f>
        <v/>
      </c>
      <c r="J322" s="33">
        <f>IF(I322="","",IF(LOWER(E322)="auto",ROUND(I322*Rules!$C$8,1),IF(RIGHT(E322,1)="%",ROUND(I322*VALUE(LEFT(E322,LEN(E322)-1))/100,1),IF(RIGHT(LOWER(E322),2)="km",VALUE(LEFT(E322,LEN(E322)-2)),IF(LOWER(E322)="race","race",E322)))))</f>
        <v/>
      </c>
    </row>
    <row r="323" ht="15" customHeight="1" s="21">
      <c r="A323" s="32" t="n"/>
      <c r="B323" s="32" t="n"/>
      <c r="C323" s="32" t="n"/>
      <c r="D323" s="35" t="n"/>
      <c r="E323" s="32" t="n"/>
      <c r="F323" s="32" t="n"/>
      <c r="G323" s="32" t="n"/>
      <c r="H323" s="33">
        <f>IF(A323="","",COUNTIFS('Run sessions'!$A$2:$A$401,A323,'Run sessions'!$B$2:$B$401,B323))</f>
        <v/>
      </c>
      <c r="I323" s="33">
        <f>IF(OR(A323="",D323=""),"",IFERROR(ROUND(D323*IF(INDEX(Programmes!$L$2:$L$10,MATCH(A323,Programmes!$A$2:$A$10,0))="",INDEX(Programmes!$K$2:$K$10,MATCH(A323,Programmes!$A$2:$A$10,0)),INDEX(Programmes!$L$2:$L$10,MATCH(A323,Programmes!$A$2:$A$10,0))),1),""))</f>
        <v/>
      </c>
      <c r="J323" s="33">
        <f>IF(I323="","",IF(LOWER(E323)="auto",ROUND(I323*Rules!$C$8,1),IF(RIGHT(E323,1)="%",ROUND(I323*VALUE(LEFT(E323,LEN(E323)-1))/100,1),IF(RIGHT(LOWER(E323),2)="km",VALUE(LEFT(E323,LEN(E323)-2)),IF(LOWER(E323)="race","race",E323)))))</f>
        <v/>
      </c>
    </row>
    <row r="324" ht="15" customHeight="1" s="21">
      <c r="A324" s="32" t="n"/>
      <c r="B324" s="32" t="n"/>
      <c r="C324" s="32" t="n"/>
      <c r="D324" s="35" t="n"/>
      <c r="E324" s="32" t="n"/>
      <c r="F324" s="32" t="n"/>
      <c r="G324" s="32" t="n"/>
      <c r="H324" s="33">
        <f>IF(A324="","",COUNTIFS('Run sessions'!$A$2:$A$401,A324,'Run sessions'!$B$2:$B$401,B324))</f>
        <v/>
      </c>
      <c r="I324" s="33">
        <f>IF(OR(A324="",D324=""),"",IFERROR(ROUND(D324*IF(INDEX(Programmes!$L$2:$L$10,MATCH(A324,Programmes!$A$2:$A$10,0))="",INDEX(Programmes!$K$2:$K$10,MATCH(A324,Programmes!$A$2:$A$10,0)),INDEX(Programmes!$L$2:$L$10,MATCH(A324,Programmes!$A$2:$A$10,0))),1),""))</f>
        <v/>
      </c>
      <c r="J324" s="33">
        <f>IF(I324="","",IF(LOWER(E324)="auto",ROUND(I324*Rules!$C$8,1),IF(RIGHT(E324,1)="%",ROUND(I324*VALUE(LEFT(E324,LEN(E324)-1))/100,1),IF(RIGHT(LOWER(E324),2)="km",VALUE(LEFT(E324,LEN(E324)-2)),IF(LOWER(E324)="race","race",E324)))))</f>
        <v/>
      </c>
    </row>
    <row r="325" ht="15" customHeight="1" s="21">
      <c r="A325" s="32" t="n"/>
      <c r="B325" s="32" t="n"/>
      <c r="C325" s="32" t="n"/>
      <c r="D325" s="35" t="n"/>
      <c r="E325" s="32" t="n"/>
      <c r="F325" s="32" t="n"/>
      <c r="G325" s="32" t="n"/>
      <c r="H325" s="33">
        <f>IF(A325="","",COUNTIFS('Run sessions'!$A$2:$A$401,A325,'Run sessions'!$B$2:$B$401,B325))</f>
        <v/>
      </c>
      <c r="I325" s="33">
        <f>IF(OR(A325="",D325=""),"",IFERROR(ROUND(D325*IF(INDEX(Programmes!$L$2:$L$10,MATCH(A325,Programmes!$A$2:$A$10,0))="",INDEX(Programmes!$K$2:$K$10,MATCH(A325,Programmes!$A$2:$A$10,0)),INDEX(Programmes!$L$2:$L$10,MATCH(A325,Programmes!$A$2:$A$10,0))),1),""))</f>
        <v/>
      </c>
      <c r="J325" s="33">
        <f>IF(I325="","",IF(LOWER(E325)="auto",ROUND(I325*Rules!$C$8,1),IF(RIGHT(E325,1)="%",ROUND(I325*VALUE(LEFT(E325,LEN(E325)-1))/100,1),IF(RIGHT(LOWER(E325),2)="km",VALUE(LEFT(E325,LEN(E325)-2)),IF(LOWER(E325)="race","race",E325)))))</f>
        <v/>
      </c>
    </row>
    <row r="326" ht="15" customHeight="1" s="21">
      <c r="A326" s="32" t="n"/>
      <c r="B326" s="32" t="n"/>
      <c r="C326" s="32" t="n"/>
      <c r="D326" s="35" t="n"/>
      <c r="E326" s="32" t="n"/>
      <c r="F326" s="32" t="n"/>
      <c r="G326" s="32" t="n"/>
      <c r="H326" s="33">
        <f>IF(A326="","",COUNTIFS('Run sessions'!$A$2:$A$401,A326,'Run sessions'!$B$2:$B$401,B326))</f>
        <v/>
      </c>
      <c r="I326" s="33">
        <f>IF(OR(A326="",D326=""),"",IFERROR(ROUND(D326*IF(INDEX(Programmes!$L$2:$L$10,MATCH(A326,Programmes!$A$2:$A$10,0))="",INDEX(Programmes!$K$2:$K$10,MATCH(A326,Programmes!$A$2:$A$10,0)),INDEX(Programmes!$L$2:$L$10,MATCH(A326,Programmes!$A$2:$A$10,0))),1),""))</f>
        <v/>
      </c>
      <c r="J326" s="33">
        <f>IF(I326="","",IF(LOWER(E326)="auto",ROUND(I326*Rules!$C$8,1),IF(RIGHT(E326,1)="%",ROUND(I326*VALUE(LEFT(E326,LEN(E326)-1))/100,1),IF(RIGHT(LOWER(E326),2)="km",VALUE(LEFT(E326,LEN(E326)-2)),IF(LOWER(E326)="race","race",E326)))))</f>
        <v/>
      </c>
    </row>
    <row r="327" ht="15" customHeight="1" s="21">
      <c r="A327" s="32" t="n"/>
      <c r="B327" s="32" t="n"/>
      <c r="C327" s="32" t="n"/>
      <c r="D327" s="35" t="n"/>
      <c r="E327" s="32" t="n"/>
      <c r="F327" s="32" t="n"/>
      <c r="G327" s="32" t="n"/>
      <c r="H327" s="33">
        <f>IF(A327="","",COUNTIFS('Run sessions'!$A$2:$A$401,A327,'Run sessions'!$B$2:$B$401,B327))</f>
        <v/>
      </c>
      <c r="I327" s="33">
        <f>IF(OR(A327="",D327=""),"",IFERROR(ROUND(D327*IF(INDEX(Programmes!$L$2:$L$10,MATCH(A327,Programmes!$A$2:$A$10,0))="",INDEX(Programmes!$K$2:$K$10,MATCH(A327,Programmes!$A$2:$A$10,0)),INDEX(Programmes!$L$2:$L$10,MATCH(A327,Programmes!$A$2:$A$10,0))),1),""))</f>
        <v/>
      </c>
      <c r="J327" s="33">
        <f>IF(I327="","",IF(LOWER(E327)="auto",ROUND(I327*Rules!$C$8,1),IF(RIGHT(E327,1)="%",ROUND(I327*VALUE(LEFT(E327,LEN(E327)-1))/100,1),IF(RIGHT(LOWER(E327),2)="km",VALUE(LEFT(E327,LEN(E327)-2)),IF(LOWER(E327)="race","race",E327)))))</f>
        <v/>
      </c>
    </row>
    <row r="328" ht="15" customHeight="1" s="21">
      <c r="A328" s="32" t="n"/>
      <c r="B328" s="32" t="n"/>
      <c r="C328" s="32" t="n"/>
      <c r="D328" s="35" t="n"/>
      <c r="E328" s="32" t="n"/>
      <c r="F328" s="32" t="n"/>
      <c r="G328" s="32" t="n"/>
      <c r="H328" s="33">
        <f>IF(A328="","",COUNTIFS('Run sessions'!$A$2:$A$401,A328,'Run sessions'!$B$2:$B$401,B328))</f>
        <v/>
      </c>
      <c r="I328" s="33">
        <f>IF(OR(A328="",D328=""),"",IFERROR(ROUND(D328*IF(INDEX(Programmes!$L$2:$L$10,MATCH(A328,Programmes!$A$2:$A$10,0))="",INDEX(Programmes!$K$2:$K$10,MATCH(A328,Programmes!$A$2:$A$10,0)),INDEX(Programmes!$L$2:$L$10,MATCH(A328,Programmes!$A$2:$A$10,0))),1),""))</f>
        <v/>
      </c>
      <c r="J328" s="33">
        <f>IF(I328="","",IF(LOWER(E328)="auto",ROUND(I328*Rules!$C$8,1),IF(RIGHT(E328,1)="%",ROUND(I328*VALUE(LEFT(E328,LEN(E328)-1))/100,1),IF(RIGHT(LOWER(E328),2)="km",VALUE(LEFT(E328,LEN(E328)-2)),IF(LOWER(E328)="race","race",E328)))))</f>
        <v/>
      </c>
    </row>
    <row r="329" ht="15" customHeight="1" s="21">
      <c r="A329" s="32" t="n"/>
      <c r="B329" s="32" t="n"/>
      <c r="C329" s="32" t="n"/>
      <c r="D329" s="35" t="n"/>
      <c r="E329" s="32" t="n"/>
      <c r="F329" s="32" t="n"/>
      <c r="G329" s="32" t="n"/>
      <c r="H329" s="33">
        <f>IF(A329="","",COUNTIFS('Run sessions'!$A$2:$A$401,A329,'Run sessions'!$B$2:$B$401,B329))</f>
        <v/>
      </c>
      <c r="I329" s="33">
        <f>IF(OR(A329="",D329=""),"",IFERROR(ROUND(D329*IF(INDEX(Programmes!$L$2:$L$10,MATCH(A329,Programmes!$A$2:$A$10,0))="",INDEX(Programmes!$K$2:$K$10,MATCH(A329,Programmes!$A$2:$A$10,0)),INDEX(Programmes!$L$2:$L$10,MATCH(A329,Programmes!$A$2:$A$10,0))),1),""))</f>
        <v/>
      </c>
      <c r="J329" s="33">
        <f>IF(I329="","",IF(LOWER(E329)="auto",ROUND(I329*Rules!$C$8,1),IF(RIGHT(E329,1)="%",ROUND(I329*VALUE(LEFT(E329,LEN(E329)-1))/100,1),IF(RIGHT(LOWER(E329),2)="km",VALUE(LEFT(E329,LEN(E329)-2)),IF(LOWER(E329)="race","race",E329)))))</f>
        <v/>
      </c>
    </row>
    <row r="330" ht="15" customHeight="1" s="21">
      <c r="A330" s="32" t="n"/>
      <c r="B330" s="32" t="n"/>
      <c r="C330" s="32" t="n"/>
      <c r="D330" s="35" t="n"/>
      <c r="E330" s="32" t="n"/>
      <c r="F330" s="32" t="n"/>
      <c r="G330" s="32" t="n"/>
      <c r="H330" s="33">
        <f>IF(A330="","",COUNTIFS('Run sessions'!$A$2:$A$401,A330,'Run sessions'!$B$2:$B$401,B330))</f>
        <v/>
      </c>
      <c r="I330" s="33">
        <f>IF(OR(A330="",D330=""),"",IFERROR(ROUND(D330*IF(INDEX(Programmes!$L$2:$L$10,MATCH(A330,Programmes!$A$2:$A$10,0))="",INDEX(Programmes!$K$2:$K$10,MATCH(A330,Programmes!$A$2:$A$10,0)),INDEX(Programmes!$L$2:$L$10,MATCH(A330,Programmes!$A$2:$A$10,0))),1),""))</f>
        <v/>
      </c>
      <c r="J330" s="33">
        <f>IF(I330="","",IF(LOWER(E330)="auto",ROUND(I330*Rules!$C$8,1),IF(RIGHT(E330,1)="%",ROUND(I330*VALUE(LEFT(E330,LEN(E330)-1))/100,1),IF(RIGHT(LOWER(E330),2)="km",VALUE(LEFT(E330,LEN(E330)-2)),IF(LOWER(E330)="race","race",E330)))))</f>
        <v/>
      </c>
    </row>
    <row r="331" ht="15" customHeight="1" s="21">
      <c r="A331" s="32" t="n"/>
      <c r="B331" s="32" t="n"/>
      <c r="C331" s="32" t="n"/>
      <c r="D331" s="35" t="n"/>
      <c r="E331" s="32" t="n"/>
      <c r="F331" s="32" t="n"/>
      <c r="G331" s="32" t="n"/>
      <c r="H331" s="33">
        <f>IF(A331="","",COUNTIFS('Run sessions'!$A$2:$A$401,A331,'Run sessions'!$B$2:$B$401,B331))</f>
        <v/>
      </c>
      <c r="I331" s="33">
        <f>IF(OR(A331="",D331=""),"",IFERROR(ROUND(D331*IF(INDEX(Programmes!$L$2:$L$10,MATCH(A331,Programmes!$A$2:$A$10,0))="",INDEX(Programmes!$K$2:$K$10,MATCH(A331,Programmes!$A$2:$A$10,0)),INDEX(Programmes!$L$2:$L$10,MATCH(A331,Programmes!$A$2:$A$10,0))),1),""))</f>
        <v/>
      </c>
      <c r="J331" s="33">
        <f>IF(I331="","",IF(LOWER(E331)="auto",ROUND(I331*Rules!$C$8,1),IF(RIGHT(E331,1)="%",ROUND(I331*VALUE(LEFT(E331,LEN(E331)-1))/100,1),IF(RIGHT(LOWER(E331),2)="km",VALUE(LEFT(E331,LEN(E331)-2)),IF(LOWER(E331)="race","race",E331)))))</f>
        <v/>
      </c>
    </row>
    <row r="332" ht="15" customHeight="1" s="21">
      <c r="A332" s="32" t="n"/>
      <c r="B332" s="32" t="n"/>
      <c r="C332" s="32" t="n"/>
      <c r="D332" s="35" t="n"/>
      <c r="E332" s="32" t="n"/>
      <c r="F332" s="32" t="n"/>
      <c r="G332" s="32" t="n"/>
      <c r="H332" s="33">
        <f>IF(A332="","",COUNTIFS('Run sessions'!$A$2:$A$401,A332,'Run sessions'!$B$2:$B$401,B332))</f>
        <v/>
      </c>
      <c r="I332" s="33">
        <f>IF(OR(A332="",D332=""),"",IFERROR(ROUND(D332*IF(INDEX(Programmes!$L$2:$L$10,MATCH(A332,Programmes!$A$2:$A$10,0))="",INDEX(Programmes!$K$2:$K$10,MATCH(A332,Programmes!$A$2:$A$10,0)),INDEX(Programmes!$L$2:$L$10,MATCH(A332,Programmes!$A$2:$A$10,0))),1),""))</f>
        <v/>
      </c>
      <c r="J332" s="33">
        <f>IF(I332="","",IF(LOWER(E332)="auto",ROUND(I332*Rules!$C$8,1),IF(RIGHT(E332,1)="%",ROUND(I332*VALUE(LEFT(E332,LEN(E332)-1))/100,1),IF(RIGHT(LOWER(E332),2)="km",VALUE(LEFT(E332,LEN(E332)-2)),IF(LOWER(E332)="race","race",E332)))))</f>
        <v/>
      </c>
    </row>
    <row r="333" ht="15" customHeight="1" s="21">
      <c r="A333" s="32" t="n"/>
      <c r="B333" s="32" t="n"/>
      <c r="C333" s="32" t="n"/>
      <c r="D333" s="35" t="n"/>
      <c r="E333" s="32" t="n"/>
      <c r="F333" s="32" t="n"/>
      <c r="G333" s="32" t="n"/>
      <c r="H333" s="33">
        <f>IF(A333="","",COUNTIFS('Run sessions'!$A$2:$A$401,A333,'Run sessions'!$B$2:$B$401,B333))</f>
        <v/>
      </c>
      <c r="I333" s="33">
        <f>IF(OR(A333="",D333=""),"",IFERROR(ROUND(D333*IF(INDEX(Programmes!$L$2:$L$10,MATCH(A333,Programmes!$A$2:$A$10,0))="",INDEX(Programmes!$K$2:$K$10,MATCH(A333,Programmes!$A$2:$A$10,0)),INDEX(Programmes!$L$2:$L$10,MATCH(A333,Programmes!$A$2:$A$10,0))),1),""))</f>
        <v/>
      </c>
      <c r="J333" s="33">
        <f>IF(I333="","",IF(LOWER(E333)="auto",ROUND(I333*Rules!$C$8,1),IF(RIGHT(E333,1)="%",ROUND(I333*VALUE(LEFT(E333,LEN(E333)-1))/100,1),IF(RIGHT(LOWER(E333),2)="km",VALUE(LEFT(E333,LEN(E333)-2)),IF(LOWER(E333)="race","race",E333)))))</f>
        <v/>
      </c>
    </row>
    <row r="334" ht="15" customHeight="1" s="21">
      <c r="A334" s="32" t="n"/>
      <c r="B334" s="32" t="n"/>
      <c r="C334" s="32" t="n"/>
      <c r="D334" s="35" t="n"/>
      <c r="E334" s="32" t="n"/>
      <c r="F334" s="32" t="n"/>
      <c r="G334" s="32" t="n"/>
      <c r="H334" s="33">
        <f>IF(A334="","",COUNTIFS('Run sessions'!$A$2:$A$401,A334,'Run sessions'!$B$2:$B$401,B334))</f>
        <v/>
      </c>
      <c r="I334" s="33">
        <f>IF(OR(A334="",D334=""),"",IFERROR(ROUND(D334*IF(INDEX(Programmes!$L$2:$L$10,MATCH(A334,Programmes!$A$2:$A$10,0))="",INDEX(Programmes!$K$2:$K$10,MATCH(A334,Programmes!$A$2:$A$10,0)),INDEX(Programmes!$L$2:$L$10,MATCH(A334,Programmes!$A$2:$A$10,0))),1),""))</f>
        <v/>
      </c>
      <c r="J334" s="33">
        <f>IF(I334="","",IF(LOWER(E334)="auto",ROUND(I334*Rules!$C$8,1),IF(RIGHT(E334,1)="%",ROUND(I334*VALUE(LEFT(E334,LEN(E334)-1))/100,1),IF(RIGHT(LOWER(E334),2)="km",VALUE(LEFT(E334,LEN(E334)-2)),IF(LOWER(E334)="race","race",E334)))))</f>
        <v/>
      </c>
    </row>
    <row r="335" ht="15" customHeight="1" s="21">
      <c r="A335" s="32" t="n"/>
      <c r="B335" s="32" t="n"/>
      <c r="C335" s="32" t="n"/>
      <c r="D335" s="35" t="n"/>
      <c r="E335" s="32" t="n"/>
      <c r="F335" s="32" t="n"/>
      <c r="G335" s="32" t="n"/>
      <c r="H335" s="33">
        <f>IF(A335="","",COUNTIFS('Run sessions'!$A$2:$A$401,A335,'Run sessions'!$B$2:$B$401,B335))</f>
        <v/>
      </c>
      <c r="I335" s="33">
        <f>IF(OR(A335="",D335=""),"",IFERROR(ROUND(D335*IF(INDEX(Programmes!$L$2:$L$10,MATCH(A335,Programmes!$A$2:$A$10,0))="",INDEX(Programmes!$K$2:$K$10,MATCH(A335,Programmes!$A$2:$A$10,0)),INDEX(Programmes!$L$2:$L$10,MATCH(A335,Programmes!$A$2:$A$10,0))),1),""))</f>
        <v/>
      </c>
      <c r="J335" s="33">
        <f>IF(I335="","",IF(LOWER(E335)="auto",ROUND(I335*Rules!$C$8,1),IF(RIGHT(E335,1)="%",ROUND(I335*VALUE(LEFT(E335,LEN(E335)-1))/100,1),IF(RIGHT(LOWER(E335),2)="km",VALUE(LEFT(E335,LEN(E335)-2)),IF(LOWER(E335)="race","race",E335)))))</f>
        <v/>
      </c>
    </row>
    <row r="336" ht="15" customHeight="1" s="21">
      <c r="A336" s="32" t="n"/>
      <c r="B336" s="32" t="n"/>
      <c r="C336" s="32" t="n"/>
      <c r="D336" s="35" t="n"/>
      <c r="E336" s="32" t="n"/>
      <c r="F336" s="32" t="n"/>
      <c r="G336" s="32" t="n"/>
      <c r="H336" s="33">
        <f>IF(A336="","",COUNTIFS('Run sessions'!$A$2:$A$401,A336,'Run sessions'!$B$2:$B$401,B336))</f>
        <v/>
      </c>
      <c r="I336" s="33">
        <f>IF(OR(A336="",D336=""),"",IFERROR(ROUND(D336*IF(INDEX(Programmes!$L$2:$L$10,MATCH(A336,Programmes!$A$2:$A$10,0))="",INDEX(Programmes!$K$2:$K$10,MATCH(A336,Programmes!$A$2:$A$10,0)),INDEX(Programmes!$L$2:$L$10,MATCH(A336,Programmes!$A$2:$A$10,0))),1),""))</f>
        <v/>
      </c>
      <c r="J336" s="33">
        <f>IF(I336="","",IF(LOWER(E336)="auto",ROUND(I336*Rules!$C$8,1),IF(RIGHT(E336,1)="%",ROUND(I336*VALUE(LEFT(E336,LEN(E336)-1))/100,1),IF(RIGHT(LOWER(E336),2)="km",VALUE(LEFT(E336,LEN(E336)-2)),IF(LOWER(E336)="race","race",E336)))))</f>
        <v/>
      </c>
    </row>
    <row r="337" ht="15" customHeight="1" s="21">
      <c r="A337" s="32" t="n"/>
      <c r="B337" s="32" t="n"/>
      <c r="C337" s="32" t="n"/>
      <c r="D337" s="35" t="n"/>
      <c r="E337" s="32" t="n"/>
      <c r="F337" s="32" t="n"/>
      <c r="G337" s="32" t="n"/>
      <c r="H337" s="33">
        <f>IF(A337="","",COUNTIFS('Run sessions'!$A$2:$A$401,A337,'Run sessions'!$B$2:$B$401,B337))</f>
        <v/>
      </c>
      <c r="I337" s="33">
        <f>IF(OR(A337="",D337=""),"",IFERROR(ROUND(D337*IF(INDEX(Programmes!$L$2:$L$10,MATCH(A337,Programmes!$A$2:$A$10,0))="",INDEX(Programmes!$K$2:$K$10,MATCH(A337,Programmes!$A$2:$A$10,0)),INDEX(Programmes!$L$2:$L$10,MATCH(A337,Programmes!$A$2:$A$10,0))),1),""))</f>
        <v/>
      </c>
      <c r="J337" s="33">
        <f>IF(I337="","",IF(LOWER(E337)="auto",ROUND(I337*Rules!$C$8,1),IF(RIGHT(E337,1)="%",ROUND(I337*VALUE(LEFT(E337,LEN(E337)-1))/100,1),IF(RIGHT(LOWER(E337),2)="km",VALUE(LEFT(E337,LEN(E337)-2)),IF(LOWER(E337)="race","race",E337)))))</f>
        <v/>
      </c>
    </row>
    <row r="338" ht="15" customHeight="1" s="21">
      <c r="A338" s="32" t="n"/>
      <c r="B338" s="32" t="n"/>
      <c r="C338" s="32" t="n"/>
      <c r="D338" s="35" t="n"/>
      <c r="E338" s="32" t="n"/>
      <c r="F338" s="32" t="n"/>
      <c r="G338" s="32" t="n"/>
      <c r="H338" s="33">
        <f>IF(A338="","",COUNTIFS('Run sessions'!$A$2:$A$401,A338,'Run sessions'!$B$2:$B$401,B338))</f>
        <v/>
      </c>
      <c r="I338" s="33">
        <f>IF(OR(A338="",D338=""),"",IFERROR(ROUND(D338*IF(INDEX(Programmes!$L$2:$L$10,MATCH(A338,Programmes!$A$2:$A$10,0))="",INDEX(Programmes!$K$2:$K$10,MATCH(A338,Programmes!$A$2:$A$10,0)),INDEX(Programmes!$L$2:$L$10,MATCH(A338,Programmes!$A$2:$A$10,0))),1),""))</f>
        <v/>
      </c>
      <c r="J338" s="33">
        <f>IF(I338="","",IF(LOWER(E338)="auto",ROUND(I338*Rules!$C$8,1),IF(RIGHT(E338,1)="%",ROUND(I338*VALUE(LEFT(E338,LEN(E338)-1))/100,1),IF(RIGHT(LOWER(E338),2)="km",VALUE(LEFT(E338,LEN(E338)-2)),IF(LOWER(E338)="race","race",E338)))))</f>
        <v/>
      </c>
    </row>
    <row r="339" ht="15" customHeight="1" s="21">
      <c r="A339" s="32" t="n"/>
      <c r="B339" s="32" t="n"/>
      <c r="C339" s="32" t="n"/>
      <c r="D339" s="35" t="n"/>
      <c r="E339" s="32" t="n"/>
      <c r="F339" s="32" t="n"/>
      <c r="G339" s="32" t="n"/>
      <c r="H339" s="33">
        <f>IF(A339="","",COUNTIFS('Run sessions'!$A$2:$A$401,A339,'Run sessions'!$B$2:$B$401,B339))</f>
        <v/>
      </c>
      <c r="I339" s="33">
        <f>IF(OR(A339="",D339=""),"",IFERROR(ROUND(D339*IF(INDEX(Programmes!$L$2:$L$10,MATCH(A339,Programmes!$A$2:$A$10,0))="",INDEX(Programmes!$K$2:$K$10,MATCH(A339,Programmes!$A$2:$A$10,0)),INDEX(Programmes!$L$2:$L$10,MATCH(A339,Programmes!$A$2:$A$10,0))),1),""))</f>
        <v/>
      </c>
      <c r="J339" s="33">
        <f>IF(I339="","",IF(LOWER(E339)="auto",ROUND(I339*Rules!$C$8,1),IF(RIGHT(E339,1)="%",ROUND(I339*VALUE(LEFT(E339,LEN(E339)-1))/100,1),IF(RIGHT(LOWER(E339),2)="km",VALUE(LEFT(E339,LEN(E339)-2)),IF(LOWER(E339)="race","race",E339)))))</f>
        <v/>
      </c>
    </row>
    <row r="340" ht="15" customHeight="1" s="21">
      <c r="A340" s="32" t="n"/>
      <c r="B340" s="32" t="n"/>
      <c r="C340" s="32" t="n"/>
      <c r="D340" s="35" t="n"/>
      <c r="E340" s="32" t="n"/>
      <c r="F340" s="32" t="n"/>
      <c r="G340" s="32" t="n"/>
      <c r="H340" s="33">
        <f>IF(A340="","",COUNTIFS('Run sessions'!$A$2:$A$401,A340,'Run sessions'!$B$2:$B$401,B340))</f>
        <v/>
      </c>
      <c r="I340" s="33">
        <f>IF(OR(A340="",D340=""),"",IFERROR(ROUND(D340*IF(INDEX(Programmes!$L$2:$L$10,MATCH(A340,Programmes!$A$2:$A$10,0))="",INDEX(Programmes!$K$2:$K$10,MATCH(A340,Programmes!$A$2:$A$10,0)),INDEX(Programmes!$L$2:$L$10,MATCH(A340,Programmes!$A$2:$A$10,0))),1),""))</f>
        <v/>
      </c>
      <c r="J340" s="33">
        <f>IF(I340="","",IF(LOWER(E340)="auto",ROUND(I340*Rules!$C$8,1),IF(RIGHT(E340,1)="%",ROUND(I340*VALUE(LEFT(E340,LEN(E340)-1))/100,1),IF(RIGHT(LOWER(E340),2)="km",VALUE(LEFT(E340,LEN(E340)-2)),IF(LOWER(E340)="race","race",E340)))))</f>
        <v/>
      </c>
    </row>
    <row r="341" ht="15" customHeight="1" s="21">
      <c r="A341" s="32" t="n"/>
      <c r="B341" s="32" t="n"/>
      <c r="C341" s="32" t="n"/>
      <c r="D341" s="35" t="n"/>
      <c r="E341" s="32" t="n"/>
      <c r="F341" s="32" t="n"/>
      <c r="G341" s="32" t="n"/>
      <c r="H341" s="33">
        <f>IF(A341="","",COUNTIFS('Run sessions'!$A$2:$A$401,A341,'Run sessions'!$B$2:$B$401,B341))</f>
        <v/>
      </c>
      <c r="I341" s="33">
        <f>IF(OR(A341="",D341=""),"",IFERROR(ROUND(D341*IF(INDEX(Programmes!$L$2:$L$10,MATCH(A341,Programmes!$A$2:$A$10,0))="",INDEX(Programmes!$K$2:$K$10,MATCH(A341,Programmes!$A$2:$A$10,0)),INDEX(Programmes!$L$2:$L$10,MATCH(A341,Programmes!$A$2:$A$10,0))),1),""))</f>
        <v/>
      </c>
      <c r="J341" s="33">
        <f>IF(I341="","",IF(LOWER(E341)="auto",ROUND(I341*Rules!$C$8,1),IF(RIGHT(E341,1)="%",ROUND(I341*VALUE(LEFT(E341,LEN(E341)-1))/100,1),IF(RIGHT(LOWER(E341),2)="km",VALUE(LEFT(E341,LEN(E341)-2)),IF(LOWER(E341)="race","race",E341)))))</f>
        <v/>
      </c>
    </row>
    <row r="342" ht="15" customHeight="1" s="21">
      <c r="A342" s="32" t="n"/>
      <c r="B342" s="32" t="n"/>
      <c r="C342" s="32" t="n"/>
      <c r="D342" s="35" t="n"/>
      <c r="E342" s="32" t="n"/>
      <c r="F342" s="32" t="n"/>
      <c r="G342" s="32" t="n"/>
      <c r="H342" s="33">
        <f>IF(A342="","",COUNTIFS('Run sessions'!$A$2:$A$401,A342,'Run sessions'!$B$2:$B$401,B342))</f>
        <v/>
      </c>
      <c r="I342" s="33">
        <f>IF(OR(A342="",D342=""),"",IFERROR(ROUND(D342*IF(INDEX(Programmes!$L$2:$L$10,MATCH(A342,Programmes!$A$2:$A$10,0))="",INDEX(Programmes!$K$2:$K$10,MATCH(A342,Programmes!$A$2:$A$10,0)),INDEX(Programmes!$L$2:$L$10,MATCH(A342,Programmes!$A$2:$A$10,0))),1),""))</f>
        <v/>
      </c>
      <c r="J342" s="33">
        <f>IF(I342="","",IF(LOWER(E342)="auto",ROUND(I342*Rules!$C$8,1),IF(RIGHT(E342,1)="%",ROUND(I342*VALUE(LEFT(E342,LEN(E342)-1))/100,1),IF(RIGHT(LOWER(E342),2)="km",VALUE(LEFT(E342,LEN(E342)-2)),IF(LOWER(E342)="race","race",E342)))))</f>
        <v/>
      </c>
    </row>
    <row r="343" ht="15" customHeight="1" s="21">
      <c r="A343" s="32" t="n"/>
      <c r="B343" s="32" t="n"/>
      <c r="C343" s="32" t="n"/>
      <c r="D343" s="35" t="n"/>
      <c r="E343" s="32" t="n"/>
      <c r="F343" s="32" t="n"/>
      <c r="G343" s="32" t="n"/>
      <c r="H343" s="33">
        <f>IF(A343="","",COUNTIFS('Run sessions'!$A$2:$A$401,A343,'Run sessions'!$B$2:$B$401,B343))</f>
        <v/>
      </c>
      <c r="I343" s="33">
        <f>IF(OR(A343="",D343=""),"",IFERROR(ROUND(D343*IF(INDEX(Programmes!$L$2:$L$10,MATCH(A343,Programmes!$A$2:$A$10,0))="",INDEX(Programmes!$K$2:$K$10,MATCH(A343,Programmes!$A$2:$A$10,0)),INDEX(Programmes!$L$2:$L$10,MATCH(A343,Programmes!$A$2:$A$10,0))),1),""))</f>
        <v/>
      </c>
      <c r="J343" s="33">
        <f>IF(I343="","",IF(LOWER(E343)="auto",ROUND(I343*Rules!$C$8,1),IF(RIGHT(E343,1)="%",ROUND(I343*VALUE(LEFT(E343,LEN(E343)-1))/100,1),IF(RIGHT(LOWER(E343),2)="km",VALUE(LEFT(E343,LEN(E343)-2)),IF(LOWER(E343)="race","race",E343)))))</f>
        <v/>
      </c>
    </row>
    <row r="344" ht="15" customHeight="1" s="21">
      <c r="A344" s="32" t="n"/>
      <c r="B344" s="32" t="n"/>
      <c r="C344" s="32" t="n"/>
      <c r="D344" s="35" t="n"/>
      <c r="E344" s="32" t="n"/>
      <c r="F344" s="32" t="n"/>
      <c r="G344" s="32" t="n"/>
      <c r="H344" s="33">
        <f>IF(A344="","",COUNTIFS('Run sessions'!$A$2:$A$401,A344,'Run sessions'!$B$2:$B$401,B344))</f>
        <v/>
      </c>
      <c r="I344" s="33">
        <f>IF(OR(A344="",D344=""),"",IFERROR(ROUND(D344*IF(INDEX(Programmes!$L$2:$L$10,MATCH(A344,Programmes!$A$2:$A$10,0))="",INDEX(Programmes!$K$2:$K$10,MATCH(A344,Programmes!$A$2:$A$10,0)),INDEX(Programmes!$L$2:$L$10,MATCH(A344,Programmes!$A$2:$A$10,0))),1),""))</f>
        <v/>
      </c>
      <c r="J344" s="33">
        <f>IF(I344="","",IF(LOWER(E344)="auto",ROUND(I344*Rules!$C$8,1),IF(RIGHT(E344,1)="%",ROUND(I344*VALUE(LEFT(E344,LEN(E344)-1))/100,1),IF(RIGHT(LOWER(E344),2)="km",VALUE(LEFT(E344,LEN(E344)-2)),IF(LOWER(E344)="race","race",E344)))))</f>
        <v/>
      </c>
    </row>
    <row r="345" ht="15" customHeight="1" s="21">
      <c r="A345" s="32" t="n"/>
      <c r="B345" s="32" t="n"/>
      <c r="C345" s="32" t="n"/>
      <c r="D345" s="35" t="n"/>
      <c r="E345" s="32" t="n"/>
      <c r="F345" s="32" t="n"/>
      <c r="G345" s="32" t="n"/>
      <c r="H345" s="33">
        <f>IF(A345="","",COUNTIFS('Run sessions'!$A$2:$A$401,A345,'Run sessions'!$B$2:$B$401,B345))</f>
        <v/>
      </c>
      <c r="I345" s="33">
        <f>IF(OR(A345="",D345=""),"",IFERROR(ROUND(D345*IF(INDEX(Programmes!$L$2:$L$10,MATCH(A345,Programmes!$A$2:$A$10,0))="",INDEX(Programmes!$K$2:$K$10,MATCH(A345,Programmes!$A$2:$A$10,0)),INDEX(Programmes!$L$2:$L$10,MATCH(A345,Programmes!$A$2:$A$10,0))),1),""))</f>
        <v/>
      </c>
      <c r="J345" s="33">
        <f>IF(I345="","",IF(LOWER(E345)="auto",ROUND(I345*Rules!$C$8,1),IF(RIGHT(E345,1)="%",ROUND(I345*VALUE(LEFT(E345,LEN(E345)-1))/100,1),IF(RIGHT(LOWER(E345),2)="km",VALUE(LEFT(E345,LEN(E345)-2)),IF(LOWER(E345)="race","race",E345)))))</f>
        <v/>
      </c>
    </row>
    <row r="346" ht="15" customHeight="1" s="21">
      <c r="A346" s="32" t="n"/>
      <c r="B346" s="32" t="n"/>
      <c r="C346" s="32" t="n"/>
      <c r="D346" s="35" t="n"/>
      <c r="E346" s="32" t="n"/>
      <c r="F346" s="32" t="n"/>
      <c r="G346" s="32" t="n"/>
      <c r="H346" s="33">
        <f>IF(A346="","",COUNTIFS('Run sessions'!$A$2:$A$401,A346,'Run sessions'!$B$2:$B$401,B346))</f>
        <v/>
      </c>
      <c r="I346" s="33">
        <f>IF(OR(A346="",D346=""),"",IFERROR(ROUND(D346*IF(INDEX(Programmes!$L$2:$L$10,MATCH(A346,Programmes!$A$2:$A$10,0))="",INDEX(Programmes!$K$2:$K$10,MATCH(A346,Programmes!$A$2:$A$10,0)),INDEX(Programmes!$L$2:$L$10,MATCH(A346,Programmes!$A$2:$A$10,0))),1),""))</f>
        <v/>
      </c>
      <c r="J346" s="33">
        <f>IF(I346="","",IF(LOWER(E346)="auto",ROUND(I346*Rules!$C$8,1),IF(RIGHT(E346,1)="%",ROUND(I346*VALUE(LEFT(E346,LEN(E346)-1))/100,1),IF(RIGHT(LOWER(E346),2)="km",VALUE(LEFT(E346,LEN(E346)-2)),IF(LOWER(E346)="race","race",E346)))))</f>
        <v/>
      </c>
    </row>
    <row r="347" ht="15" customHeight="1" s="21">
      <c r="A347" s="32" t="n"/>
      <c r="B347" s="32" t="n"/>
      <c r="C347" s="32" t="n"/>
      <c r="D347" s="35" t="n"/>
      <c r="E347" s="32" t="n"/>
      <c r="F347" s="32" t="n"/>
      <c r="G347" s="32" t="n"/>
      <c r="H347" s="33">
        <f>IF(A347="","",COUNTIFS('Run sessions'!$A$2:$A$401,A347,'Run sessions'!$B$2:$B$401,B347))</f>
        <v/>
      </c>
      <c r="I347" s="33">
        <f>IF(OR(A347="",D347=""),"",IFERROR(ROUND(D347*IF(INDEX(Programmes!$L$2:$L$10,MATCH(A347,Programmes!$A$2:$A$10,0))="",INDEX(Programmes!$K$2:$K$10,MATCH(A347,Programmes!$A$2:$A$10,0)),INDEX(Programmes!$L$2:$L$10,MATCH(A347,Programmes!$A$2:$A$10,0))),1),""))</f>
        <v/>
      </c>
      <c r="J347" s="33">
        <f>IF(I347="","",IF(LOWER(E347)="auto",ROUND(I347*Rules!$C$8,1),IF(RIGHT(E347,1)="%",ROUND(I347*VALUE(LEFT(E347,LEN(E347)-1))/100,1),IF(RIGHT(LOWER(E347),2)="km",VALUE(LEFT(E347,LEN(E347)-2)),IF(LOWER(E347)="race","race",E347)))))</f>
        <v/>
      </c>
    </row>
    <row r="348" ht="15" customHeight="1" s="21">
      <c r="A348" s="32" t="n"/>
      <c r="B348" s="32" t="n"/>
      <c r="C348" s="32" t="n"/>
      <c r="D348" s="35" t="n"/>
      <c r="E348" s="32" t="n"/>
      <c r="F348" s="32" t="n"/>
      <c r="G348" s="32" t="n"/>
      <c r="H348" s="33">
        <f>IF(A348="","",COUNTIFS('Run sessions'!$A$2:$A$401,A348,'Run sessions'!$B$2:$B$401,B348))</f>
        <v/>
      </c>
      <c r="I348" s="33">
        <f>IF(OR(A348="",D348=""),"",IFERROR(ROUND(D348*IF(INDEX(Programmes!$L$2:$L$10,MATCH(A348,Programmes!$A$2:$A$10,0))="",INDEX(Programmes!$K$2:$K$10,MATCH(A348,Programmes!$A$2:$A$10,0)),INDEX(Programmes!$L$2:$L$10,MATCH(A348,Programmes!$A$2:$A$10,0))),1),""))</f>
        <v/>
      </c>
      <c r="J348" s="33">
        <f>IF(I348="","",IF(LOWER(E348)="auto",ROUND(I348*Rules!$C$8,1),IF(RIGHT(E348,1)="%",ROUND(I348*VALUE(LEFT(E348,LEN(E348)-1))/100,1),IF(RIGHT(LOWER(E348),2)="km",VALUE(LEFT(E348,LEN(E348)-2)),IF(LOWER(E348)="race","race",E348)))))</f>
        <v/>
      </c>
    </row>
    <row r="349" ht="15" customHeight="1" s="21">
      <c r="A349" s="32" t="n"/>
      <c r="B349" s="32" t="n"/>
      <c r="C349" s="32" t="n"/>
      <c r="D349" s="35" t="n"/>
      <c r="E349" s="32" t="n"/>
      <c r="F349" s="32" t="n"/>
      <c r="G349" s="32" t="n"/>
      <c r="H349" s="33">
        <f>IF(A349="","",COUNTIFS('Run sessions'!$A$2:$A$401,A349,'Run sessions'!$B$2:$B$401,B349))</f>
        <v/>
      </c>
      <c r="I349" s="33">
        <f>IF(OR(A349="",D349=""),"",IFERROR(ROUND(D349*IF(INDEX(Programmes!$L$2:$L$10,MATCH(A349,Programmes!$A$2:$A$10,0))="",INDEX(Programmes!$K$2:$K$10,MATCH(A349,Programmes!$A$2:$A$10,0)),INDEX(Programmes!$L$2:$L$10,MATCH(A349,Programmes!$A$2:$A$10,0))),1),""))</f>
        <v/>
      </c>
      <c r="J349" s="33">
        <f>IF(I349="","",IF(LOWER(E349)="auto",ROUND(I349*Rules!$C$8,1),IF(RIGHT(E349,1)="%",ROUND(I349*VALUE(LEFT(E349,LEN(E349)-1))/100,1),IF(RIGHT(LOWER(E349),2)="km",VALUE(LEFT(E349,LEN(E349)-2)),IF(LOWER(E349)="race","race",E349)))))</f>
        <v/>
      </c>
    </row>
    <row r="350" ht="15" customHeight="1" s="21">
      <c r="A350" s="32" t="n"/>
      <c r="B350" s="32" t="n"/>
      <c r="C350" s="32" t="n"/>
      <c r="D350" s="35" t="n"/>
      <c r="E350" s="32" t="n"/>
      <c r="F350" s="32" t="n"/>
      <c r="G350" s="32" t="n"/>
      <c r="H350" s="33">
        <f>IF(A350="","",COUNTIFS('Run sessions'!$A$2:$A$401,A350,'Run sessions'!$B$2:$B$401,B350))</f>
        <v/>
      </c>
      <c r="I350" s="33">
        <f>IF(OR(A350="",D350=""),"",IFERROR(ROUND(D350*IF(INDEX(Programmes!$L$2:$L$10,MATCH(A350,Programmes!$A$2:$A$10,0))="",INDEX(Programmes!$K$2:$K$10,MATCH(A350,Programmes!$A$2:$A$10,0)),INDEX(Programmes!$L$2:$L$10,MATCH(A350,Programmes!$A$2:$A$10,0))),1),""))</f>
        <v/>
      </c>
      <c r="J350" s="33">
        <f>IF(I350="","",IF(LOWER(E350)="auto",ROUND(I350*Rules!$C$8,1),IF(RIGHT(E350,1)="%",ROUND(I350*VALUE(LEFT(E350,LEN(E350)-1))/100,1),IF(RIGHT(LOWER(E350),2)="km",VALUE(LEFT(E350,LEN(E350)-2)),IF(LOWER(E350)="race","race",E350)))))</f>
        <v/>
      </c>
    </row>
    <row r="351" ht="15" customHeight="1" s="21">
      <c r="A351" s="32" t="n"/>
      <c r="B351" s="32" t="n"/>
      <c r="C351" s="32" t="n"/>
      <c r="D351" s="35" t="n"/>
      <c r="E351" s="32" t="n"/>
      <c r="F351" s="32" t="n"/>
      <c r="G351" s="32" t="n"/>
      <c r="H351" s="33">
        <f>IF(A351="","",COUNTIFS('Run sessions'!$A$2:$A$401,A351,'Run sessions'!$B$2:$B$401,B351))</f>
        <v/>
      </c>
      <c r="I351" s="33">
        <f>IF(OR(A351="",D351=""),"",IFERROR(ROUND(D351*IF(INDEX(Programmes!$L$2:$L$10,MATCH(A351,Programmes!$A$2:$A$10,0))="",INDEX(Programmes!$K$2:$K$10,MATCH(A351,Programmes!$A$2:$A$10,0)),INDEX(Programmes!$L$2:$L$10,MATCH(A351,Programmes!$A$2:$A$10,0))),1),""))</f>
        <v/>
      </c>
      <c r="J351" s="33">
        <f>IF(I351="","",IF(LOWER(E351)="auto",ROUND(I351*Rules!$C$8,1),IF(RIGHT(E351,1)="%",ROUND(I351*VALUE(LEFT(E351,LEN(E351)-1))/100,1),IF(RIGHT(LOWER(E351),2)="km",VALUE(LEFT(E351,LEN(E351)-2)),IF(LOWER(E351)="race","race",E351)))))</f>
        <v/>
      </c>
    </row>
    <row r="352" ht="15" customHeight="1" s="21">
      <c r="A352" s="32" t="n"/>
      <c r="B352" s="32" t="n"/>
      <c r="C352" s="32" t="n"/>
      <c r="D352" s="35" t="n"/>
      <c r="E352" s="32" t="n"/>
      <c r="F352" s="32" t="n"/>
      <c r="G352" s="32" t="n"/>
      <c r="H352" s="33">
        <f>IF(A352="","",COUNTIFS('Run sessions'!$A$2:$A$401,A352,'Run sessions'!$B$2:$B$401,B352))</f>
        <v/>
      </c>
      <c r="I352" s="33">
        <f>IF(OR(A352="",D352=""),"",IFERROR(ROUND(D352*IF(INDEX(Programmes!$L$2:$L$10,MATCH(A352,Programmes!$A$2:$A$10,0))="",INDEX(Programmes!$K$2:$K$10,MATCH(A352,Programmes!$A$2:$A$10,0)),INDEX(Programmes!$L$2:$L$10,MATCH(A352,Programmes!$A$2:$A$10,0))),1),""))</f>
        <v/>
      </c>
      <c r="J352" s="33">
        <f>IF(I352="","",IF(LOWER(E352)="auto",ROUND(I352*Rules!$C$8,1),IF(RIGHT(E352,1)="%",ROUND(I352*VALUE(LEFT(E352,LEN(E352)-1))/100,1),IF(RIGHT(LOWER(E352),2)="km",VALUE(LEFT(E352,LEN(E352)-2)),IF(LOWER(E352)="race","race",E352)))))</f>
        <v/>
      </c>
    </row>
    <row r="353" ht="15" customHeight="1" s="21">
      <c r="A353" s="32" t="n"/>
      <c r="B353" s="32" t="n"/>
      <c r="C353" s="32" t="n"/>
      <c r="D353" s="35" t="n"/>
      <c r="E353" s="32" t="n"/>
      <c r="F353" s="32" t="n"/>
      <c r="G353" s="32" t="n"/>
      <c r="H353" s="33">
        <f>IF(A353="","",COUNTIFS('Run sessions'!$A$2:$A$401,A353,'Run sessions'!$B$2:$B$401,B353))</f>
        <v/>
      </c>
      <c r="I353" s="33">
        <f>IF(OR(A353="",D353=""),"",IFERROR(ROUND(D353*IF(INDEX(Programmes!$L$2:$L$10,MATCH(A353,Programmes!$A$2:$A$10,0))="",INDEX(Programmes!$K$2:$K$10,MATCH(A353,Programmes!$A$2:$A$10,0)),INDEX(Programmes!$L$2:$L$10,MATCH(A353,Programmes!$A$2:$A$10,0))),1),""))</f>
        <v/>
      </c>
      <c r="J353" s="33">
        <f>IF(I353="","",IF(LOWER(E353)="auto",ROUND(I353*Rules!$C$8,1),IF(RIGHT(E353,1)="%",ROUND(I353*VALUE(LEFT(E353,LEN(E353)-1))/100,1),IF(RIGHT(LOWER(E353),2)="km",VALUE(LEFT(E353,LEN(E353)-2)),IF(LOWER(E353)="race","race",E353)))))</f>
        <v/>
      </c>
    </row>
    <row r="354" ht="15" customHeight="1" s="21">
      <c r="A354" s="32" t="n"/>
      <c r="B354" s="32" t="n"/>
      <c r="C354" s="32" t="n"/>
      <c r="D354" s="35" t="n"/>
      <c r="E354" s="32" t="n"/>
      <c r="F354" s="32" t="n"/>
      <c r="G354" s="32" t="n"/>
      <c r="H354" s="33">
        <f>IF(A354="","",COUNTIFS('Run sessions'!$A$2:$A$401,A354,'Run sessions'!$B$2:$B$401,B354))</f>
        <v/>
      </c>
      <c r="I354" s="33">
        <f>IF(OR(A354="",D354=""),"",IFERROR(ROUND(D354*IF(INDEX(Programmes!$L$2:$L$10,MATCH(A354,Programmes!$A$2:$A$10,0))="",INDEX(Programmes!$K$2:$K$10,MATCH(A354,Programmes!$A$2:$A$10,0)),INDEX(Programmes!$L$2:$L$10,MATCH(A354,Programmes!$A$2:$A$10,0))),1),""))</f>
        <v/>
      </c>
      <c r="J354" s="33">
        <f>IF(I354="","",IF(LOWER(E354)="auto",ROUND(I354*Rules!$C$8,1),IF(RIGHT(E354,1)="%",ROUND(I354*VALUE(LEFT(E354,LEN(E354)-1))/100,1),IF(RIGHT(LOWER(E354),2)="km",VALUE(LEFT(E354,LEN(E354)-2)),IF(LOWER(E354)="race","race",E354)))))</f>
        <v/>
      </c>
    </row>
    <row r="355" ht="15" customHeight="1" s="21">
      <c r="A355" s="32" t="n"/>
      <c r="B355" s="32" t="n"/>
      <c r="C355" s="32" t="n"/>
      <c r="D355" s="35" t="n"/>
      <c r="E355" s="32" t="n"/>
      <c r="F355" s="32" t="n"/>
      <c r="G355" s="32" t="n"/>
      <c r="H355" s="33">
        <f>IF(A355="","",COUNTIFS('Run sessions'!$A$2:$A$401,A355,'Run sessions'!$B$2:$B$401,B355))</f>
        <v/>
      </c>
      <c r="I355" s="33">
        <f>IF(OR(A355="",D355=""),"",IFERROR(ROUND(D355*IF(INDEX(Programmes!$L$2:$L$10,MATCH(A355,Programmes!$A$2:$A$10,0))="",INDEX(Programmes!$K$2:$K$10,MATCH(A355,Programmes!$A$2:$A$10,0)),INDEX(Programmes!$L$2:$L$10,MATCH(A355,Programmes!$A$2:$A$10,0))),1),""))</f>
        <v/>
      </c>
      <c r="J355" s="33">
        <f>IF(I355="","",IF(LOWER(E355)="auto",ROUND(I355*Rules!$C$8,1),IF(RIGHT(E355,1)="%",ROUND(I355*VALUE(LEFT(E355,LEN(E355)-1))/100,1),IF(RIGHT(LOWER(E355),2)="km",VALUE(LEFT(E355,LEN(E355)-2)),IF(LOWER(E355)="race","race",E355)))))</f>
        <v/>
      </c>
    </row>
    <row r="356" ht="15" customHeight="1" s="21">
      <c r="A356" s="32" t="n"/>
      <c r="B356" s="32" t="n"/>
      <c r="C356" s="32" t="n"/>
      <c r="D356" s="35" t="n"/>
      <c r="E356" s="32" t="n"/>
      <c r="F356" s="32" t="n"/>
      <c r="G356" s="32" t="n"/>
      <c r="H356" s="33">
        <f>IF(A356="","",COUNTIFS('Run sessions'!$A$2:$A$401,A356,'Run sessions'!$B$2:$B$401,B356))</f>
        <v/>
      </c>
      <c r="I356" s="33">
        <f>IF(OR(A356="",D356=""),"",IFERROR(ROUND(D356*IF(INDEX(Programmes!$L$2:$L$10,MATCH(A356,Programmes!$A$2:$A$10,0))="",INDEX(Programmes!$K$2:$K$10,MATCH(A356,Programmes!$A$2:$A$10,0)),INDEX(Programmes!$L$2:$L$10,MATCH(A356,Programmes!$A$2:$A$10,0))),1),""))</f>
        <v/>
      </c>
      <c r="J356" s="33">
        <f>IF(I356="","",IF(LOWER(E356)="auto",ROUND(I356*Rules!$C$8,1),IF(RIGHT(E356,1)="%",ROUND(I356*VALUE(LEFT(E356,LEN(E356)-1))/100,1),IF(RIGHT(LOWER(E356),2)="km",VALUE(LEFT(E356,LEN(E356)-2)),IF(LOWER(E356)="race","race",E356)))))</f>
        <v/>
      </c>
    </row>
    <row r="357" ht="15" customHeight="1" s="21">
      <c r="A357" s="32" t="n"/>
      <c r="B357" s="32" t="n"/>
      <c r="C357" s="32" t="n"/>
      <c r="D357" s="35" t="n"/>
      <c r="E357" s="32" t="n"/>
      <c r="F357" s="32" t="n"/>
      <c r="G357" s="32" t="n"/>
      <c r="H357" s="33">
        <f>IF(A357="","",COUNTIFS('Run sessions'!$A$2:$A$401,A357,'Run sessions'!$B$2:$B$401,B357))</f>
        <v/>
      </c>
      <c r="I357" s="33">
        <f>IF(OR(A357="",D357=""),"",IFERROR(ROUND(D357*IF(INDEX(Programmes!$L$2:$L$10,MATCH(A357,Programmes!$A$2:$A$10,0))="",INDEX(Programmes!$K$2:$K$10,MATCH(A357,Programmes!$A$2:$A$10,0)),INDEX(Programmes!$L$2:$L$10,MATCH(A357,Programmes!$A$2:$A$10,0))),1),""))</f>
        <v/>
      </c>
      <c r="J357" s="33">
        <f>IF(I357="","",IF(LOWER(E357)="auto",ROUND(I357*Rules!$C$8,1),IF(RIGHT(E357,1)="%",ROUND(I357*VALUE(LEFT(E357,LEN(E357)-1))/100,1),IF(RIGHT(LOWER(E357),2)="km",VALUE(LEFT(E357,LEN(E357)-2)),IF(LOWER(E357)="race","race",E357)))))</f>
        <v/>
      </c>
    </row>
    <row r="358" ht="15" customHeight="1" s="21">
      <c r="A358" s="32" t="n"/>
      <c r="B358" s="32" t="n"/>
      <c r="C358" s="32" t="n"/>
      <c r="D358" s="35" t="n"/>
      <c r="E358" s="32" t="n"/>
      <c r="F358" s="32" t="n"/>
      <c r="G358" s="32" t="n"/>
      <c r="H358" s="33">
        <f>IF(A358="","",COUNTIFS('Run sessions'!$A$2:$A$401,A358,'Run sessions'!$B$2:$B$401,B358))</f>
        <v/>
      </c>
      <c r="I358" s="33">
        <f>IF(OR(A358="",D358=""),"",IFERROR(ROUND(D358*IF(INDEX(Programmes!$L$2:$L$10,MATCH(A358,Programmes!$A$2:$A$10,0))="",INDEX(Programmes!$K$2:$K$10,MATCH(A358,Programmes!$A$2:$A$10,0)),INDEX(Programmes!$L$2:$L$10,MATCH(A358,Programmes!$A$2:$A$10,0))),1),""))</f>
        <v/>
      </c>
      <c r="J358" s="33">
        <f>IF(I358="","",IF(LOWER(E358)="auto",ROUND(I358*Rules!$C$8,1),IF(RIGHT(E358,1)="%",ROUND(I358*VALUE(LEFT(E358,LEN(E358)-1))/100,1),IF(RIGHT(LOWER(E358),2)="km",VALUE(LEFT(E358,LEN(E358)-2)),IF(LOWER(E358)="race","race",E358)))))</f>
        <v/>
      </c>
    </row>
    <row r="359" ht="15" customHeight="1" s="21">
      <c r="A359" s="32" t="n"/>
      <c r="B359" s="32" t="n"/>
      <c r="C359" s="32" t="n"/>
      <c r="D359" s="35" t="n"/>
      <c r="E359" s="32" t="n"/>
      <c r="F359" s="32" t="n"/>
      <c r="G359" s="32" t="n"/>
      <c r="H359" s="33">
        <f>IF(A359="","",COUNTIFS('Run sessions'!$A$2:$A$401,A359,'Run sessions'!$B$2:$B$401,B359))</f>
        <v/>
      </c>
      <c r="I359" s="33">
        <f>IF(OR(A359="",D359=""),"",IFERROR(ROUND(D359*IF(INDEX(Programmes!$L$2:$L$10,MATCH(A359,Programmes!$A$2:$A$10,0))="",INDEX(Programmes!$K$2:$K$10,MATCH(A359,Programmes!$A$2:$A$10,0)),INDEX(Programmes!$L$2:$L$10,MATCH(A359,Programmes!$A$2:$A$10,0))),1),""))</f>
        <v/>
      </c>
      <c r="J359" s="33">
        <f>IF(I359="","",IF(LOWER(E359)="auto",ROUND(I359*Rules!$C$8,1),IF(RIGHT(E359,1)="%",ROUND(I359*VALUE(LEFT(E359,LEN(E359)-1))/100,1),IF(RIGHT(LOWER(E359),2)="km",VALUE(LEFT(E359,LEN(E359)-2)),IF(LOWER(E359)="race","race",E359)))))</f>
        <v/>
      </c>
    </row>
    <row r="360" ht="15" customHeight="1" s="21">
      <c r="A360" s="32" t="n"/>
      <c r="B360" s="32" t="n"/>
      <c r="C360" s="32" t="n"/>
      <c r="D360" s="35" t="n"/>
      <c r="E360" s="32" t="n"/>
      <c r="F360" s="32" t="n"/>
      <c r="G360" s="32" t="n"/>
      <c r="H360" s="33">
        <f>IF(A360="","",COUNTIFS('Run sessions'!$A$2:$A$401,A360,'Run sessions'!$B$2:$B$401,B360))</f>
        <v/>
      </c>
      <c r="I360" s="33">
        <f>IF(OR(A360="",D360=""),"",IFERROR(ROUND(D360*IF(INDEX(Programmes!$L$2:$L$10,MATCH(A360,Programmes!$A$2:$A$10,0))="",INDEX(Programmes!$K$2:$K$10,MATCH(A360,Programmes!$A$2:$A$10,0)),INDEX(Programmes!$L$2:$L$10,MATCH(A360,Programmes!$A$2:$A$10,0))),1),""))</f>
        <v/>
      </c>
      <c r="J360" s="33">
        <f>IF(I360="","",IF(LOWER(E360)="auto",ROUND(I360*Rules!$C$8,1),IF(RIGHT(E360,1)="%",ROUND(I360*VALUE(LEFT(E360,LEN(E360)-1))/100,1),IF(RIGHT(LOWER(E360),2)="km",VALUE(LEFT(E360,LEN(E360)-2)),IF(LOWER(E360)="race","race",E360)))))</f>
        <v/>
      </c>
    </row>
    <row r="361" ht="15" customHeight="1" s="21">
      <c r="A361" s="32" t="n"/>
      <c r="B361" s="32" t="n"/>
      <c r="C361" s="32" t="n"/>
      <c r="D361" s="35" t="n"/>
      <c r="E361" s="32" t="n"/>
      <c r="F361" s="32" t="n"/>
      <c r="G361" s="32" t="n"/>
      <c r="H361" s="33">
        <f>IF(A361="","",COUNTIFS('Run sessions'!$A$2:$A$401,A361,'Run sessions'!$B$2:$B$401,B361))</f>
        <v/>
      </c>
      <c r="I361" s="33">
        <f>IF(OR(A361="",D361=""),"",IFERROR(ROUND(D361*IF(INDEX(Programmes!$L$2:$L$10,MATCH(A361,Programmes!$A$2:$A$10,0))="",INDEX(Programmes!$K$2:$K$10,MATCH(A361,Programmes!$A$2:$A$10,0)),INDEX(Programmes!$L$2:$L$10,MATCH(A361,Programmes!$A$2:$A$10,0))),1),""))</f>
        <v/>
      </c>
      <c r="J361" s="33">
        <f>IF(I361="","",IF(LOWER(E361)="auto",ROUND(I361*Rules!$C$8,1),IF(RIGHT(E361,1)="%",ROUND(I361*VALUE(LEFT(E361,LEN(E361)-1))/100,1),IF(RIGHT(LOWER(E361),2)="km",VALUE(LEFT(E361,LEN(E361)-2)),IF(LOWER(E361)="race","race",E361)))))</f>
        <v/>
      </c>
    </row>
    <row r="362" ht="15" customHeight="1" s="21">
      <c r="A362" s="32" t="n"/>
      <c r="B362" s="32" t="n"/>
      <c r="C362" s="32" t="n"/>
      <c r="D362" s="35" t="n"/>
      <c r="E362" s="32" t="n"/>
      <c r="F362" s="32" t="n"/>
      <c r="G362" s="32" t="n"/>
      <c r="H362" s="33">
        <f>IF(A362="","",COUNTIFS('Run sessions'!$A$2:$A$401,A362,'Run sessions'!$B$2:$B$401,B362))</f>
        <v/>
      </c>
      <c r="I362" s="33">
        <f>IF(OR(A362="",D362=""),"",IFERROR(ROUND(D362*IF(INDEX(Programmes!$L$2:$L$10,MATCH(A362,Programmes!$A$2:$A$10,0))="",INDEX(Programmes!$K$2:$K$10,MATCH(A362,Programmes!$A$2:$A$10,0)),INDEX(Programmes!$L$2:$L$10,MATCH(A362,Programmes!$A$2:$A$10,0))),1),""))</f>
        <v/>
      </c>
      <c r="J362" s="33">
        <f>IF(I362="","",IF(LOWER(E362)="auto",ROUND(I362*Rules!$C$8,1),IF(RIGHT(E362,1)="%",ROUND(I362*VALUE(LEFT(E362,LEN(E362)-1))/100,1),IF(RIGHT(LOWER(E362),2)="km",VALUE(LEFT(E362,LEN(E362)-2)),IF(LOWER(E362)="race","race",E362)))))</f>
        <v/>
      </c>
    </row>
    <row r="363" ht="15" customHeight="1" s="21">
      <c r="A363" s="32" t="n"/>
      <c r="B363" s="32" t="n"/>
      <c r="C363" s="32" t="n"/>
      <c r="D363" s="35" t="n"/>
      <c r="E363" s="32" t="n"/>
      <c r="F363" s="32" t="n"/>
      <c r="G363" s="32" t="n"/>
      <c r="H363" s="33">
        <f>IF(A363="","",COUNTIFS('Run sessions'!$A$2:$A$401,A363,'Run sessions'!$B$2:$B$401,B363))</f>
        <v/>
      </c>
      <c r="I363" s="33">
        <f>IF(OR(A363="",D363=""),"",IFERROR(ROUND(D363*IF(INDEX(Programmes!$L$2:$L$10,MATCH(A363,Programmes!$A$2:$A$10,0))="",INDEX(Programmes!$K$2:$K$10,MATCH(A363,Programmes!$A$2:$A$10,0)),INDEX(Programmes!$L$2:$L$10,MATCH(A363,Programmes!$A$2:$A$10,0))),1),""))</f>
        <v/>
      </c>
      <c r="J363" s="33">
        <f>IF(I363="","",IF(LOWER(E363)="auto",ROUND(I363*Rules!$C$8,1),IF(RIGHT(E363,1)="%",ROUND(I363*VALUE(LEFT(E363,LEN(E363)-1))/100,1),IF(RIGHT(LOWER(E363),2)="km",VALUE(LEFT(E363,LEN(E363)-2)),IF(LOWER(E363)="race","race",E363)))))</f>
        <v/>
      </c>
    </row>
    <row r="364" ht="15" customHeight="1" s="21">
      <c r="A364" s="32" t="n"/>
      <c r="B364" s="32" t="n"/>
      <c r="C364" s="32" t="n"/>
      <c r="D364" s="35" t="n"/>
      <c r="E364" s="32" t="n"/>
      <c r="F364" s="32" t="n"/>
      <c r="G364" s="32" t="n"/>
      <c r="H364" s="33">
        <f>IF(A364="","",COUNTIFS('Run sessions'!$A$2:$A$401,A364,'Run sessions'!$B$2:$B$401,B364))</f>
        <v/>
      </c>
      <c r="I364" s="33">
        <f>IF(OR(A364="",D364=""),"",IFERROR(ROUND(D364*IF(INDEX(Programmes!$L$2:$L$10,MATCH(A364,Programmes!$A$2:$A$10,0))="",INDEX(Programmes!$K$2:$K$10,MATCH(A364,Programmes!$A$2:$A$10,0)),INDEX(Programmes!$L$2:$L$10,MATCH(A364,Programmes!$A$2:$A$10,0))),1),""))</f>
        <v/>
      </c>
      <c r="J364" s="33">
        <f>IF(I364="","",IF(LOWER(E364)="auto",ROUND(I364*Rules!$C$8,1),IF(RIGHT(E364,1)="%",ROUND(I364*VALUE(LEFT(E364,LEN(E364)-1))/100,1),IF(RIGHT(LOWER(E364),2)="km",VALUE(LEFT(E364,LEN(E364)-2)),IF(LOWER(E364)="race","race",E364)))))</f>
        <v/>
      </c>
    </row>
    <row r="365" ht="15" customHeight="1" s="21">
      <c r="A365" s="32" t="n"/>
      <c r="B365" s="32" t="n"/>
      <c r="C365" s="32" t="n"/>
      <c r="D365" s="35" t="n"/>
      <c r="E365" s="32" t="n"/>
      <c r="F365" s="32" t="n"/>
      <c r="G365" s="32" t="n"/>
      <c r="H365" s="33">
        <f>IF(A365="","",COUNTIFS('Run sessions'!$A$2:$A$401,A365,'Run sessions'!$B$2:$B$401,B365))</f>
        <v/>
      </c>
      <c r="I365" s="33">
        <f>IF(OR(A365="",D365=""),"",IFERROR(ROUND(D365*IF(INDEX(Programmes!$L$2:$L$10,MATCH(A365,Programmes!$A$2:$A$10,0))="",INDEX(Programmes!$K$2:$K$10,MATCH(A365,Programmes!$A$2:$A$10,0)),INDEX(Programmes!$L$2:$L$10,MATCH(A365,Programmes!$A$2:$A$10,0))),1),""))</f>
        <v/>
      </c>
      <c r="J365" s="33">
        <f>IF(I365="","",IF(LOWER(E365)="auto",ROUND(I365*Rules!$C$8,1),IF(RIGHT(E365,1)="%",ROUND(I365*VALUE(LEFT(E365,LEN(E365)-1))/100,1),IF(RIGHT(LOWER(E365),2)="km",VALUE(LEFT(E365,LEN(E365)-2)),IF(LOWER(E365)="race","race",E365)))))</f>
        <v/>
      </c>
    </row>
    <row r="366" ht="15" customHeight="1" s="21">
      <c r="A366" s="32" t="n"/>
      <c r="B366" s="32" t="n"/>
      <c r="C366" s="32" t="n"/>
      <c r="D366" s="35" t="n"/>
      <c r="E366" s="32" t="n"/>
      <c r="F366" s="32" t="n"/>
      <c r="G366" s="32" t="n"/>
      <c r="H366" s="33">
        <f>IF(A366="","",COUNTIFS('Run sessions'!$A$2:$A$401,A366,'Run sessions'!$B$2:$B$401,B366))</f>
        <v/>
      </c>
      <c r="I366" s="33">
        <f>IF(OR(A366="",D366=""),"",IFERROR(ROUND(D366*IF(INDEX(Programmes!$L$2:$L$10,MATCH(A366,Programmes!$A$2:$A$10,0))="",INDEX(Programmes!$K$2:$K$10,MATCH(A366,Programmes!$A$2:$A$10,0)),INDEX(Programmes!$L$2:$L$10,MATCH(A366,Programmes!$A$2:$A$10,0))),1),""))</f>
        <v/>
      </c>
      <c r="J366" s="33">
        <f>IF(I366="","",IF(LOWER(E366)="auto",ROUND(I366*Rules!$C$8,1),IF(RIGHT(E366,1)="%",ROUND(I366*VALUE(LEFT(E366,LEN(E366)-1))/100,1),IF(RIGHT(LOWER(E366),2)="km",VALUE(LEFT(E366,LEN(E366)-2)),IF(LOWER(E366)="race","race",E366)))))</f>
        <v/>
      </c>
    </row>
    <row r="367" ht="15" customHeight="1" s="21">
      <c r="A367" s="32" t="n"/>
      <c r="B367" s="32" t="n"/>
      <c r="C367" s="32" t="n"/>
      <c r="D367" s="35" t="n"/>
      <c r="E367" s="32" t="n"/>
      <c r="F367" s="32" t="n"/>
      <c r="G367" s="32" t="n"/>
      <c r="H367" s="33">
        <f>IF(A367="","",COUNTIFS('Run sessions'!$A$2:$A$401,A367,'Run sessions'!$B$2:$B$401,B367))</f>
        <v/>
      </c>
      <c r="I367" s="33">
        <f>IF(OR(A367="",D367=""),"",IFERROR(ROUND(D367*IF(INDEX(Programmes!$L$2:$L$10,MATCH(A367,Programmes!$A$2:$A$10,0))="",INDEX(Programmes!$K$2:$K$10,MATCH(A367,Programmes!$A$2:$A$10,0)),INDEX(Programmes!$L$2:$L$10,MATCH(A367,Programmes!$A$2:$A$10,0))),1),""))</f>
        <v/>
      </c>
      <c r="J367" s="33">
        <f>IF(I367="","",IF(LOWER(E367)="auto",ROUND(I367*Rules!$C$8,1),IF(RIGHT(E367,1)="%",ROUND(I367*VALUE(LEFT(E367,LEN(E367)-1))/100,1),IF(RIGHT(LOWER(E367),2)="km",VALUE(LEFT(E367,LEN(E367)-2)),IF(LOWER(E367)="race","race",E367)))))</f>
        <v/>
      </c>
    </row>
    <row r="368" ht="15" customHeight="1" s="21">
      <c r="A368" s="32" t="n"/>
      <c r="B368" s="32" t="n"/>
      <c r="C368" s="32" t="n"/>
      <c r="D368" s="35" t="n"/>
      <c r="E368" s="32" t="n"/>
      <c r="F368" s="32" t="n"/>
      <c r="G368" s="32" t="n"/>
      <c r="H368" s="33">
        <f>IF(A368="","",COUNTIFS('Run sessions'!$A$2:$A$401,A368,'Run sessions'!$B$2:$B$401,B368))</f>
        <v/>
      </c>
      <c r="I368" s="33">
        <f>IF(OR(A368="",D368=""),"",IFERROR(ROUND(D368*IF(INDEX(Programmes!$L$2:$L$10,MATCH(A368,Programmes!$A$2:$A$10,0))="",INDEX(Programmes!$K$2:$K$10,MATCH(A368,Programmes!$A$2:$A$10,0)),INDEX(Programmes!$L$2:$L$10,MATCH(A368,Programmes!$A$2:$A$10,0))),1),""))</f>
        <v/>
      </c>
      <c r="J368" s="33">
        <f>IF(I368="","",IF(LOWER(E368)="auto",ROUND(I368*Rules!$C$8,1),IF(RIGHT(E368,1)="%",ROUND(I368*VALUE(LEFT(E368,LEN(E368)-1))/100,1),IF(RIGHT(LOWER(E368),2)="km",VALUE(LEFT(E368,LEN(E368)-2)),IF(LOWER(E368)="race","race",E368)))))</f>
        <v/>
      </c>
    </row>
    <row r="369" ht="15" customHeight="1" s="21">
      <c r="A369" s="32" t="n"/>
      <c r="B369" s="32" t="n"/>
      <c r="C369" s="32" t="n"/>
      <c r="D369" s="35" t="n"/>
      <c r="E369" s="32" t="n"/>
      <c r="F369" s="32" t="n"/>
      <c r="G369" s="32" t="n"/>
      <c r="H369" s="33">
        <f>IF(A369="","",COUNTIFS('Run sessions'!$A$2:$A$401,A369,'Run sessions'!$B$2:$B$401,B369))</f>
        <v/>
      </c>
      <c r="I369" s="33">
        <f>IF(OR(A369="",D369=""),"",IFERROR(ROUND(D369*IF(INDEX(Programmes!$L$2:$L$10,MATCH(A369,Programmes!$A$2:$A$10,0))="",INDEX(Programmes!$K$2:$K$10,MATCH(A369,Programmes!$A$2:$A$10,0)),INDEX(Programmes!$L$2:$L$10,MATCH(A369,Programmes!$A$2:$A$10,0))),1),""))</f>
        <v/>
      </c>
      <c r="J369" s="33">
        <f>IF(I369="","",IF(LOWER(E369)="auto",ROUND(I369*Rules!$C$8,1),IF(RIGHT(E369,1)="%",ROUND(I369*VALUE(LEFT(E369,LEN(E369)-1))/100,1),IF(RIGHT(LOWER(E369),2)="km",VALUE(LEFT(E369,LEN(E369)-2)),IF(LOWER(E369)="race","race",E369)))))</f>
        <v/>
      </c>
    </row>
    <row r="370" ht="15" customHeight="1" s="21">
      <c r="A370" s="32" t="n"/>
      <c r="B370" s="32" t="n"/>
      <c r="C370" s="32" t="n"/>
      <c r="D370" s="35" t="n"/>
      <c r="E370" s="32" t="n"/>
      <c r="F370" s="32" t="n"/>
      <c r="G370" s="32" t="n"/>
      <c r="H370" s="33">
        <f>IF(A370="","",COUNTIFS('Run sessions'!$A$2:$A$401,A370,'Run sessions'!$B$2:$B$401,B370))</f>
        <v/>
      </c>
      <c r="I370" s="33">
        <f>IF(OR(A370="",D370=""),"",IFERROR(ROUND(D370*IF(INDEX(Programmes!$L$2:$L$10,MATCH(A370,Programmes!$A$2:$A$10,0))="",INDEX(Programmes!$K$2:$K$10,MATCH(A370,Programmes!$A$2:$A$10,0)),INDEX(Programmes!$L$2:$L$10,MATCH(A370,Programmes!$A$2:$A$10,0))),1),""))</f>
        <v/>
      </c>
      <c r="J370" s="33">
        <f>IF(I370="","",IF(LOWER(E370)="auto",ROUND(I370*Rules!$C$8,1),IF(RIGHT(E370,1)="%",ROUND(I370*VALUE(LEFT(E370,LEN(E370)-1))/100,1),IF(RIGHT(LOWER(E370),2)="km",VALUE(LEFT(E370,LEN(E370)-2)),IF(LOWER(E370)="race","race",E370)))))</f>
        <v/>
      </c>
    </row>
    <row r="371" ht="15" customHeight="1" s="21">
      <c r="A371" s="32" t="n"/>
      <c r="B371" s="32" t="n"/>
      <c r="C371" s="32" t="n"/>
      <c r="D371" s="35" t="n"/>
      <c r="E371" s="32" t="n"/>
      <c r="F371" s="32" t="n"/>
      <c r="G371" s="32" t="n"/>
      <c r="H371" s="33">
        <f>IF(A371="","",COUNTIFS('Run sessions'!$A$2:$A$401,A371,'Run sessions'!$B$2:$B$401,B371))</f>
        <v/>
      </c>
      <c r="I371" s="33">
        <f>IF(OR(A371="",D371=""),"",IFERROR(ROUND(D371*IF(INDEX(Programmes!$L$2:$L$10,MATCH(A371,Programmes!$A$2:$A$10,0))="",INDEX(Programmes!$K$2:$K$10,MATCH(A371,Programmes!$A$2:$A$10,0)),INDEX(Programmes!$L$2:$L$10,MATCH(A371,Programmes!$A$2:$A$10,0))),1),""))</f>
        <v/>
      </c>
      <c r="J371" s="33">
        <f>IF(I371="","",IF(LOWER(E371)="auto",ROUND(I371*Rules!$C$8,1),IF(RIGHT(E371,1)="%",ROUND(I371*VALUE(LEFT(E371,LEN(E371)-1))/100,1),IF(RIGHT(LOWER(E371),2)="km",VALUE(LEFT(E371,LEN(E371)-2)),IF(LOWER(E371)="race","race",E371)))))</f>
        <v/>
      </c>
    </row>
    <row r="372" ht="15" customHeight="1" s="21">
      <c r="A372" s="32" t="n"/>
      <c r="B372" s="32" t="n"/>
      <c r="C372" s="32" t="n"/>
      <c r="D372" s="35" t="n"/>
      <c r="E372" s="32" t="n"/>
      <c r="F372" s="32" t="n"/>
      <c r="G372" s="32" t="n"/>
      <c r="H372" s="33">
        <f>IF(A372="","",COUNTIFS('Run sessions'!$A$2:$A$401,A372,'Run sessions'!$B$2:$B$401,B372))</f>
        <v/>
      </c>
      <c r="I372" s="33">
        <f>IF(OR(A372="",D372=""),"",IFERROR(ROUND(D372*IF(INDEX(Programmes!$L$2:$L$10,MATCH(A372,Programmes!$A$2:$A$10,0))="",INDEX(Programmes!$K$2:$K$10,MATCH(A372,Programmes!$A$2:$A$10,0)),INDEX(Programmes!$L$2:$L$10,MATCH(A372,Programmes!$A$2:$A$10,0))),1),""))</f>
        <v/>
      </c>
      <c r="J372" s="33">
        <f>IF(I372="","",IF(LOWER(E372)="auto",ROUND(I372*Rules!$C$8,1),IF(RIGHT(E372,1)="%",ROUND(I372*VALUE(LEFT(E372,LEN(E372)-1))/100,1),IF(RIGHT(LOWER(E372),2)="km",VALUE(LEFT(E372,LEN(E372)-2)),IF(LOWER(E372)="race","race",E372)))))</f>
        <v/>
      </c>
    </row>
    <row r="373" ht="15" customHeight="1" s="21">
      <c r="A373" s="32" t="n"/>
      <c r="B373" s="32" t="n"/>
      <c r="C373" s="32" t="n"/>
      <c r="D373" s="35" t="n"/>
      <c r="E373" s="32" t="n"/>
      <c r="F373" s="32" t="n"/>
      <c r="G373" s="32" t="n"/>
      <c r="H373" s="33">
        <f>IF(A373="","",COUNTIFS('Run sessions'!$A$2:$A$401,A373,'Run sessions'!$B$2:$B$401,B373))</f>
        <v/>
      </c>
      <c r="I373" s="33">
        <f>IF(OR(A373="",D373=""),"",IFERROR(ROUND(D373*IF(INDEX(Programmes!$L$2:$L$10,MATCH(A373,Programmes!$A$2:$A$10,0))="",INDEX(Programmes!$K$2:$K$10,MATCH(A373,Programmes!$A$2:$A$10,0)),INDEX(Programmes!$L$2:$L$10,MATCH(A373,Programmes!$A$2:$A$10,0))),1),""))</f>
        <v/>
      </c>
      <c r="J373" s="33">
        <f>IF(I373="","",IF(LOWER(E373)="auto",ROUND(I373*Rules!$C$8,1),IF(RIGHT(E373,1)="%",ROUND(I373*VALUE(LEFT(E373,LEN(E373)-1))/100,1),IF(RIGHT(LOWER(E373),2)="km",VALUE(LEFT(E373,LEN(E373)-2)),IF(LOWER(E373)="race","race",E373)))))</f>
        <v/>
      </c>
    </row>
    <row r="374" ht="15" customHeight="1" s="21">
      <c r="A374" s="32" t="n"/>
      <c r="B374" s="32" t="n"/>
      <c r="C374" s="32" t="n"/>
      <c r="D374" s="35" t="n"/>
      <c r="E374" s="32" t="n"/>
      <c r="F374" s="32" t="n"/>
      <c r="G374" s="32" t="n"/>
      <c r="H374" s="33">
        <f>IF(A374="","",COUNTIFS('Run sessions'!$A$2:$A$401,A374,'Run sessions'!$B$2:$B$401,B374))</f>
        <v/>
      </c>
      <c r="I374" s="33">
        <f>IF(OR(A374="",D374=""),"",IFERROR(ROUND(D374*IF(INDEX(Programmes!$L$2:$L$10,MATCH(A374,Programmes!$A$2:$A$10,0))="",INDEX(Programmes!$K$2:$K$10,MATCH(A374,Programmes!$A$2:$A$10,0)),INDEX(Programmes!$L$2:$L$10,MATCH(A374,Programmes!$A$2:$A$10,0))),1),""))</f>
        <v/>
      </c>
      <c r="J374" s="33">
        <f>IF(I374="","",IF(LOWER(E374)="auto",ROUND(I374*Rules!$C$8,1),IF(RIGHT(E374,1)="%",ROUND(I374*VALUE(LEFT(E374,LEN(E374)-1))/100,1),IF(RIGHT(LOWER(E374),2)="km",VALUE(LEFT(E374,LEN(E374)-2)),IF(LOWER(E374)="race","race",E374)))))</f>
        <v/>
      </c>
    </row>
    <row r="375" ht="15" customHeight="1" s="21">
      <c r="A375" s="32" t="n"/>
      <c r="B375" s="32" t="n"/>
      <c r="C375" s="32" t="n"/>
      <c r="D375" s="35" t="n"/>
      <c r="E375" s="32" t="n"/>
      <c r="F375" s="32" t="n"/>
      <c r="G375" s="32" t="n"/>
      <c r="H375" s="33">
        <f>IF(A375="","",COUNTIFS('Run sessions'!$A$2:$A$401,A375,'Run sessions'!$B$2:$B$401,B375))</f>
        <v/>
      </c>
      <c r="I375" s="33">
        <f>IF(OR(A375="",D375=""),"",IFERROR(ROUND(D375*IF(INDEX(Programmes!$L$2:$L$10,MATCH(A375,Programmes!$A$2:$A$10,0))="",INDEX(Programmes!$K$2:$K$10,MATCH(A375,Programmes!$A$2:$A$10,0)),INDEX(Programmes!$L$2:$L$10,MATCH(A375,Programmes!$A$2:$A$10,0))),1),""))</f>
        <v/>
      </c>
      <c r="J375" s="33">
        <f>IF(I375="","",IF(LOWER(E375)="auto",ROUND(I375*Rules!$C$8,1),IF(RIGHT(E375,1)="%",ROUND(I375*VALUE(LEFT(E375,LEN(E375)-1))/100,1),IF(RIGHT(LOWER(E375),2)="km",VALUE(LEFT(E375,LEN(E375)-2)),IF(LOWER(E375)="race","race",E375)))))</f>
        <v/>
      </c>
    </row>
    <row r="376" ht="15" customHeight="1" s="21">
      <c r="A376" s="32" t="n"/>
      <c r="B376" s="32" t="n"/>
      <c r="C376" s="32" t="n"/>
      <c r="D376" s="35" t="n"/>
      <c r="E376" s="32" t="n"/>
      <c r="F376" s="32" t="n"/>
      <c r="G376" s="32" t="n"/>
      <c r="H376" s="33">
        <f>IF(A376="","",COUNTIFS('Run sessions'!$A$2:$A$401,A376,'Run sessions'!$B$2:$B$401,B376))</f>
        <v/>
      </c>
      <c r="I376" s="33">
        <f>IF(OR(A376="",D376=""),"",IFERROR(ROUND(D376*IF(INDEX(Programmes!$L$2:$L$10,MATCH(A376,Programmes!$A$2:$A$10,0))="",INDEX(Programmes!$K$2:$K$10,MATCH(A376,Programmes!$A$2:$A$10,0)),INDEX(Programmes!$L$2:$L$10,MATCH(A376,Programmes!$A$2:$A$10,0))),1),""))</f>
        <v/>
      </c>
      <c r="J376" s="33">
        <f>IF(I376="","",IF(LOWER(E376)="auto",ROUND(I376*Rules!$C$8,1),IF(RIGHT(E376,1)="%",ROUND(I376*VALUE(LEFT(E376,LEN(E376)-1))/100,1),IF(RIGHT(LOWER(E376),2)="km",VALUE(LEFT(E376,LEN(E376)-2)),IF(LOWER(E376)="race","race",E376)))))</f>
        <v/>
      </c>
    </row>
    <row r="377" ht="15" customHeight="1" s="21">
      <c r="A377" s="32" t="n"/>
      <c r="B377" s="32" t="n"/>
      <c r="C377" s="32" t="n"/>
      <c r="D377" s="35" t="n"/>
      <c r="E377" s="32" t="n"/>
      <c r="F377" s="32" t="n"/>
      <c r="G377" s="32" t="n"/>
      <c r="H377" s="33">
        <f>IF(A377="","",COUNTIFS('Run sessions'!$A$2:$A$401,A377,'Run sessions'!$B$2:$B$401,B377))</f>
        <v/>
      </c>
      <c r="I377" s="33">
        <f>IF(OR(A377="",D377=""),"",IFERROR(ROUND(D377*IF(INDEX(Programmes!$L$2:$L$10,MATCH(A377,Programmes!$A$2:$A$10,0))="",INDEX(Programmes!$K$2:$K$10,MATCH(A377,Programmes!$A$2:$A$10,0)),INDEX(Programmes!$L$2:$L$10,MATCH(A377,Programmes!$A$2:$A$10,0))),1),""))</f>
        <v/>
      </c>
      <c r="J377" s="33">
        <f>IF(I377="","",IF(LOWER(E377)="auto",ROUND(I377*Rules!$C$8,1),IF(RIGHT(E377,1)="%",ROUND(I377*VALUE(LEFT(E377,LEN(E377)-1))/100,1),IF(RIGHT(LOWER(E377),2)="km",VALUE(LEFT(E377,LEN(E377)-2)),IF(LOWER(E377)="race","race",E377)))))</f>
        <v/>
      </c>
    </row>
    <row r="378" ht="15" customHeight="1" s="21">
      <c r="A378" s="32" t="n"/>
      <c r="B378" s="32" t="n"/>
      <c r="C378" s="32" t="n"/>
      <c r="D378" s="35" t="n"/>
      <c r="E378" s="32" t="n"/>
      <c r="F378" s="32" t="n"/>
      <c r="G378" s="32" t="n"/>
      <c r="H378" s="33">
        <f>IF(A378="","",COUNTIFS('Run sessions'!$A$2:$A$401,A378,'Run sessions'!$B$2:$B$401,B378))</f>
        <v/>
      </c>
      <c r="I378" s="33">
        <f>IF(OR(A378="",D378=""),"",IFERROR(ROUND(D378*IF(INDEX(Programmes!$L$2:$L$10,MATCH(A378,Programmes!$A$2:$A$10,0))="",INDEX(Programmes!$K$2:$K$10,MATCH(A378,Programmes!$A$2:$A$10,0)),INDEX(Programmes!$L$2:$L$10,MATCH(A378,Programmes!$A$2:$A$10,0))),1),""))</f>
        <v/>
      </c>
      <c r="J378" s="33">
        <f>IF(I378="","",IF(LOWER(E378)="auto",ROUND(I378*Rules!$C$8,1),IF(RIGHT(E378,1)="%",ROUND(I378*VALUE(LEFT(E378,LEN(E378)-1))/100,1),IF(RIGHT(LOWER(E378),2)="km",VALUE(LEFT(E378,LEN(E378)-2)),IF(LOWER(E378)="race","race",E378)))))</f>
        <v/>
      </c>
    </row>
    <row r="379" ht="15" customHeight="1" s="21">
      <c r="A379" s="32" t="n"/>
      <c r="B379" s="32" t="n"/>
      <c r="C379" s="32" t="n"/>
      <c r="D379" s="35" t="n"/>
      <c r="E379" s="32" t="n"/>
      <c r="F379" s="32" t="n"/>
      <c r="G379" s="32" t="n"/>
      <c r="H379" s="33">
        <f>IF(A379="","",COUNTIFS('Run sessions'!$A$2:$A$401,A379,'Run sessions'!$B$2:$B$401,B379))</f>
        <v/>
      </c>
      <c r="I379" s="33">
        <f>IF(OR(A379="",D379=""),"",IFERROR(ROUND(D379*IF(INDEX(Programmes!$L$2:$L$10,MATCH(A379,Programmes!$A$2:$A$10,0))="",INDEX(Programmes!$K$2:$K$10,MATCH(A379,Programmes!$A$2:$A$10,0)),INDEX(Programmes!$L$2:$L$10,MATCH(A379,Programmes!$A$2:$A$10,0))),1),""))</f>
        <v/>
      </c>
      <c r="J379" s="33">
        <f>IF(I379="","",IF(LOWER(E379)="auto",ROUND(I379*Rules!$C$8,1),IF(RIGHT(E379,1)="%",ROUND(I379*VALUE(LEFT(E379,LEN(E379)-1))/100,1),IF(RIGHT(LOWER(E379),2)="km",VALUE(LEFT(E379,LEN(E379)-2)),IF(LOWER(E379)="race","race",E379)))))</f>
        <v/>
      </c>
    </row>
    <row r="380" ht="15" customHeight="1" s="21">
      <c r="A380" s="32" t="n"/>
      <c r="B380" s="32" t="n"/>
      <c r="C380" s="32" t="n"/>
      <c r="D380" s="35" t="n"/>
      <c r="E380" s="32" t="n"/>
      <c r="F380" s="32" t="n"/>
      <c r="G380" s="32" t="n"/>
      <c r="H380" s="33">
        <f>IF(A380="","",COUNTIFS('Run sessions'!$A$2:$A$401,A380,'Run sessions'!$B$2:$B$401,B380))</f>
        <v/>
      </c>
      <c r="I380" s="33">
        <f>IF(OR(A380="",D380=""),"",IFERROR(ROUND(D380*IF(INDEX(Programmes!$L$2:$L$10,MATCH(A380,Programmes!$A$2:$A$10,0))="",INDEX(Programmes!$K$2:$K$10,MATCH(A380,Programmes!$A$2:$A$10,0)),INDEX(Programmes!$L$2:$L$10,MATCH(A380,Programmes!$A$2:$A$10,0))),1),""))</f>
        <v/>
      </c>
      <c r="J380" s="33">
        <f>IF(I380="","",IF(LOWER(E380)="auto",ROUND(I380*Rules!$C$8,1),IF(RIGHT(E380,1)="%",ROUND(I380*VALUE(LEFT(E380,LEN(E380)-1))/100,1),IF(RIGHT(LOWER(E380),2)="km",VALUE(LEFT(E380,LEN(E380)-2)),IF(LOWER(E380)="race","race",E380)))))</f>
        <v/>
      </c>
    </row>
    <row r="381" ht="15" customHeight="1" s="21">
      <c r="A381" s="32" t="n"/>
      <c r="B381" s="32" t="n"/>
      <c r="C381" s="32" t="n"/>
      <c r="D381" s="35" t="n"/>
      <c r="E381" s="32" t="n"/>
      <c r="F381" s="32" t="n"/>
      <c r="G381" s="32" t="n"/>
      <c r="H381" s="33">
        <f>IF(A381="","",COUNTIFS('Run sessions'!$A$2:$A$401,A381,'Run sessions'!$B$2:$B$401,B381))</f>
        <v/>
      </c>
      <c r="I381" s="33">
        <f>IF(OR(A381="",D381=""),"",IFERROR(ROUND(D381*IF(INDEX(Programmes!$L$2:$L$10,MATCH(A381,Programmes!$A$2:$A$10,0))="",INDEX(Programmes!$K$2:$K$10,MATCH(A381,Programmes!$A$2:$A$10,0)),INDEX(Programmes!$L$2:$L$10,MATCH(A381,Programmes!$A$2:$A$10,0))),1),""))</f>
        <v/>
      </c>
      <c r="J381" s="33">
        <f>IF(I381="","",IF(LOWER(E381)="auto",ROUND(I381*Rules!$C$8,1),IF(RIGHT(E381,1)="%",ROUND(I381*VALUE(LEFT(E381,LEN(E381)-1))/100,1),IF(RIGHT(LOWER(E381),2)="km",VALUE(LEFT(E381,LEN(E381)-2)),IF(LOWER(E381)="race","race",E381)))))</f>
        <v/>
      </c>
    </row>
    <row r="382" ht="15" customHeight="1" s="21">
      <c r="A382" s="32" t="n"/>
      <c r="B382" s="32" t="n"/>
      <c r="C382" s="32" t="n"/>
      <c r="D382" s="35" t="n"/>
      <c r="E382" s="32" t="n"/>
      <c r="F382" s="32" t="n"/>
      <c r="G382" s="32" t="n"/>
      <c r="H382" s="33">
        <f>IF(A382="","",COUNTIFS('Run sessions'!$A$2:$A$401,A382,'Run sessions'!$B$2:$B$401,B382))</f>
        <v/>
      </c>
      <c r="I382" s="33">
        <f>IF(OR(A382="",D382=""),"",IFERROR(ROUND(D382*IF(INDEX(Programmes!$L$2:$L$10,MATCH(A382,Programmes!$A$2:$A$10,0))="",INDEX(Programmes!$K$2:$K$10,MATCH(A382,Programmes!$A$2:$A$10,0)),INDEX(Programmes!$L$2:$L$10,MATCH(A382,Programmes!$A$2:$A$10,0))),1),""))</f>
        <v/>
      </c>
      <c r="J382" s="33">
        <f>IF(I382="","",IF(LOWER(E382)="auto",ROUND(I382*Rules!$C$8,1),IF(RIGHT(E382,1)="%",ROUND(I382*VALUE(LEFT(E382,LEN(E382)-1))/100,1),IF(RIGHT(LOWER(E382),2)="km",VALUE(LEFT(E382,LEN(E382)-2)),IF(LOWER(E382)="race","race",E382)))))</f>
        <v/>
      </c>
    </row>
    <row r="383" ht="15" customHeight="1" s="21">
      <c r="A383" s="32" t="n"/>
      <c r="B383" s="32" t="n"/>
      <c r="C383" s="32" t="n"/>
      <c r="D383" s="35" t="n"/>
      <c r="E383" s="32" t="n"/>
      <c r="F383" s="32" t="n"/>
      <c r="G383" s="32" t="n"/>
      <c r="H383" s="33">
        <f>IF(A383="","",COUNTIFS('Run sessions'!$A$2:$A$401,A383,'Run sessions'!$B$2:$B$401,B383))</f>
        <v/>
      </c>
      <c r="I383" s="33">
        <f>IF(OR(A383="",D383=""),"",IFERROR(ROUND(D383*IF(INDEX(Programmes!$L$2:$L$10,MATCH(A383,Programmes!$A$2:$A$10,0))="",INDEX(Programmes!$K$2:$K$10,MATCH(A383,Programmes!$A$2:$A$10,0)),INDEX(Programmes!$L$2:$L$10,MATCH(A383,Programmes!$A$2:$A$10,0))),1),""))</f>
        <v/>
      </c>
      <c r="J383" s="33">
        <f>IF(I383="","",IF(LOWER(E383)="auto",ROUND(I383*Rules!$C$8,1),IF(RIGHT(E383,1)="%",ROUND(I383*VALUE(LEFT(E383,LEN(E383)-1))/100,1),IF(RIGHT(LOWER(E383),2)="km",VALUE(LEFT(E383,LEN(E383)-2)),IF(LOWER(E383)="race","race",E383)))))</f>
        <v/>
      </c>
    </row>
    <row r="384" ht="15" customHeight="1" s="21">
      <c r="A384" s="32" t="n"/>
      <c r="B384" s="32" t="n"/>
      <c r="C384" s="32" t="n"/>
      <c r="D384" s="35" t="n"/>
      <c r="E384" s="32" t="n"/>
      <c r="F384" s="32" t="n"/>
      <c r="G384" s="32" t="n"/>
      <c r="H384" s="33">
        <f>IF(A384="","",COUNTIFS('Run sessions'!$A$2:$A$401,A384,'Run sessions'!$B$2:$B$401,B384))</f>
        <v/>
      </c>
      <c r="I384" s="33">
        <f>IF(OR(A384="",D384=""),"",IFERROR(ROUND(D384*IF(INDEX(Programmes!$L$2:$L$10,MATCH(A384,Programmes!$A$2:$A$10,0))="",INDEX(Programmes!$K$2:$K$10,MATCH(A384,Programmes!$A$2:$A$10,0)),INDEX(Programmes!$L$2:$L$10,MATCH(A384,Programmes!$A$2:$A$10,0))),1),""))</f>
        <v/>
      </c>
      <c r="J384" s="33">
        <f>IF(I384="","",IF(LOWER(E384)="auto",ROUND(I384*Rules!$C$8,1),IF(RIGHT(E384,1)="%",ROUND(I384*VALUE(LEFT(E384,LEN(E384)-1))/100,1),IF(RIGHT(LOWER(E384),2)="km",VALUE(LEFT(E384,LEN(E384)-2)),IF(LOWER(E384)="race","race",E384)))))</f>
        <v/>
      </c>
    </row>
    <row r="385" ht="15" customHeight="1" s="21">
      <c r="A385" s="32" t="n"/>
      <c r="B385" s="32" t="n"/>
      <c r="C385" s="32" t="n"/>
      <c r="D385" s="35" t="n"/>
      <c r="E385" s="32" t="n"/>
      <c r="F385" s="32" t="n"/>
      <c r="G385" s="32" t="n"/>
      <c r="H385" s="33">
        <f>IF(A385="","",COUNTIFS('Run sessions'!$A$2:$A$401,A385,'Run sessions'!$B$2:$B$401,B385))</f>
        <v/>
      </c>
      <c r="I385" s="33">
        <f>IF(OR(A385="",D385=""),"",IFERROR(ROUND(D385*IF(INDEX(Programmes!$L$2:$L$10,MATCH(A385,Programmes!$A$2:$A$10,0))="",INDEX(Programmes!$K$2:$K$10,MATCH(A385,Programmes!$A$2:$A$10,0)),INDEX(Programmes!$L$2:$L$10,MATCH(A385,Programmes!$A$2:$A$10,0))),1),""))</f>
        <v/>
      </c>
      <c r="J385" s="33">
        <f>IF(I385="","",IF(LOWER(E385)="auto",ROUND(I385*Rules!$C$8,1),IF(RIGHT(E385,1)="%",ROUND(I385*VALUE(LEFT(E385,LEN(E385)-1))/100,1),IF(RIGHT(LOWER(E385),2)="km",VALUE(LEFT(E385,LEN(E385)-2)),IF(LOWER(E385)="race","race",E385)))))</f>
        <v/>
      </c>
    </row>
    <row r="386" ht="15" customHeight="1" s="21">
      <c r="A386" s="32" t="n"/>
      <c r="B386" s="32" t="n"/>
      <c r="C386" s="32" t="n"/>
      <c r="D386" s="35" t="n"/>
      <c r="E386" s="32" t="n"/>
      <c r="F386" s="32" t="n"/>
      <c r="G386" s="32" t="n"/>
      <c r="H386" s="33">
        <f>IF(A386="","",COUNTIFS('Run sessions'!$A$2:$A$401,A386,'Run sessions'!$B$2:$B$401,B386))</f>
        <v/>
      </c>
      <c r="I386" s="33">
        <f>IF(OR(A386="",D386=""),"",IFERROR(ROUND(D386*IF(INDEX(Programmes!$L$2:$L$10,MATCH(A386,Programmes!$A$2:$A$10,0))="",INDEX(Programmes!$K$2:$K$10,MATCH(A386,Programmes!$A$2:$A$10,0)),INDEX(Programmes!$L$2:$L$10,MATCH(A386,Programmes!$A$2:$A$10,0))),1),""))</f>
        <v/>
      </c>
      <c r="J386" s="33">
        <f>IF(I386="","",IF(LOWER(E386)="auto",ROUND(I386*Rules!$C$8,1),IF(RIGHT(E386,1)="%",ROUND(I386*VALUE(LEFT(E386,LEN(E386)-1))/100,1),IF(RIGHT(LOWER(E386),2)="km",VALUE(LEFT(E386,LEN(E386)-2)),IF(LOWER(E386)="race","race",E386)))))</f>
        <v/>
      </c>
    </row>
    <row r="387" ht="15" customHeight="1" s="21">
      <c r="A387" s="32" t="n"/>
      <c r="B387" s="32" t="n"/>
      <c r="C387" s="32" t="n"/>
      <c r="D387" s="35" t="n"/>
      <c r="E387" s="32" t="n"/>
      <c r="F387" s="32" t="n"/>
      <c r="G387" s="32" t="n"/>
      <c r="H387" s="33">
        <f>IF(A387="","",COUNTIFS('Run sessions'!$A$2:$A$401,A387,'Run sessions'!$B$2:$B$401,B387))</f>
        <v/>
      </c>
      <c r="I387" s="33">
        <f>IF(OR(A387="",D387=""),"",IFERROR(ROUND(D387*IF(INDEX(Programmes!$L$2:$L$10,MATCH(A387,Programmes!$A$2:$A$10,0))="",INDEX(Programmes!$K$2:$K$10,MATCH(A387,Programmes!$A$2:$A$10,0)),INDEX(Programmes!$L$2:$L$10,MATCH(A387,Programmes!$A$2:$A$10,0))),1),""))</f>
        <v/>
      </c>
      <c r="J387" s="33">
        <f>IF(I387="","",IF(LOWER(E387)="auto",ROUND(I387*Rules!$C$8,1),IF(RIGHT(E387,1)="%",ROUND(I387*VALUE(LEFT(E387,LEN(E387)-1))/100,1),IF(RIGHT(LOWER(E387),2)="km",VALUE(LEFT(E387,LEN(E387)-2)),IF(LOWER(E387)="race","race",E387)))))</f>
        <v/>
      </c>
    </row>
    <row r="388" ht="15" customHeight="1" s="21">
      <c r="A388" s="32" t="n"/>
      <c r="B388" s="32" t="n"/>
      <c r="C388" s="32" t="n"/>
      <c r="D388" s="35" t="n"/>
      <c r="E388" s="32" t="n"/>
      <c r="F388" s="32" t="n"/>
      <c r="G388" s="32" t="n"/>
      <c r="H388" s="33">
        <f>IF(A388="","",COUNTIFS('Run sessions'!$A$2:$A$401,A388,'Run sessions'!$B$2:$B$401,B388))</f>
        <v/>
      </c>
      <c r="I388" s="33">
        <f>IF(OR(A388="",D388=""),"",IFERROR(ROUND(D388*IF(INDEX(Programmes!$L$2:$L$10,MATCH(A388,Programmes!$A$2:$A$10,0))="",INDEX(Programmes!$K$2:$K$10,MATCH(A388,Programmes!$A$2:$A$10,0)),INDEX(Programmes!$L$2:$L$10,MATCH(A388,Programmes!$A$2:$A$10,0))),1),""))</f>
        <v/>
      </c>
      <c r="J388" s="33">
        <f>IF(I388="","",IF(LOWER(E388)="auto",ROUND(I388*Rules!$C$8,1),IF(RIGHT(E388,1)="%",ROUND(I388*VALUE(LEFT(E388,LEN(E388)-1))/100,1),IF(RIGHT(LOWER(E388),2)="km",VALUE(LEFT(E388,LEN(E388)-2)),IF(LOWER(E388)="race","race",E388)))))</f>
        <v/>
      </c>
    </row>
    <row r="389" ht="15" customHeight="1" s="21">
      <c r="A389" s="32" t="n"/>
      <c r="B389" s="32" t="n"/>
      <c r="C389" s="32" t="n"/>
      <c r="D389" s="35" t="n"/>
      <c r="E389" s="32" t="n"/>
      <c r="F389" s="32" t="n"/>
      <c r="G389" s="32" t="n"/>
      <c r="H389" s="33">
        <f>IF(A389="","",COUNTIFS('Run sessions'!$A$2:$A$401,A389,'Run sessions'!$B$2:$B$401,B389))</f>
        <v/>
      </c>
      <c r="I389" s="33">
        <f>IF(OR(A389="",D389=""),"",IFERROR(ROUND(D389*IF(INDEX(Programmes!$L$2:$L$10,MATCH(A389,Programmes!$A$2:$A$10,0))="",INDEX(Programmes!$K$2:$K$10,MATCH(A389,Programmes!$A$2:$A$10,0)),INDEX(Programmes!$L$2:$L$10,MATCH(A389,Programmes!$A$2:$A$10,0))),1),""))</f>
        <v/>
      </c>
      <c r="J389" s="33">
        <f>IF(I389="","",IF(LOWER(E389)="auto",ROUND(I389*Rules!$C$8,1),IF(RIGHT(E389,1)="%",ROUND(I389*VALUE(LEFT(E389,LEN(E389)-1))/100,1),IF(RIGHT(LOWER(E389),2)="km",VALUE(LEFT(E389,LEN(E389)-2)),IF(LOWER(E389)="race","race",E389)))))</f>
        <v/>
      </c>
    </row>
    <row r="390" ht="15" customHeight="1" s="21">
      <c r="A390" s="32" t="n"/>
      <c r="B390" s="32" t="n"/>
      <c r="C390" s="32" t="n"/>
      <c r="D390" s="35" t="n"/>
      <c r="E390" s="32" t="n"/>
      <c r="F390" s="32" t="n"/>
      <c r="G390" s="32" t="n"/>
      <c r="H390" s="33">
        <f>IF(A390="","",COUNTIFS('Run sessions'!$A$2:$A$401,A390,'Run sessions'!$B$2:$B$401,B390))</f>
        <v/>
      </c>
      <c r="I390" s="33">
        <f>IF(OR(A390="",D390=""),"",IFERROR(ROUND(D390*IF(INDEX(Programmes!$L$2:$L$10,MATCH(A390,Programmes!$A$2:$A$10,0))="",INDEX(Programmes!$K$2:$K$10,MATCH(A390,Programmes!$A$2:$A$10,0)),INDEX(Programmes!$L$2:$L$10,MATCH(A390,Programmes!$A$2:$A$10,0))),1),""))</f>
        <v/>
      </c>
      <c r="J390" s="33">
        <f>IF(I390="","",IF(LOWER(E390)="auto",ROUND(I390*Rules!$C$8,1),IF(RIGHT(E390,1)="%",ROUND(I390*VALUE(LEFT(E390,LEN(E390)-1))/100,1),IF(RIGHT(LOWER(E390),2)="km",VALUE(LEFT(E390,LEN(E390)-2)),IF(LOWER(E390)="race","race",E390)))))</f>
        <v/>
      </c>
    </row>
    <row r="391" ht="15" customHeight="1" s="21">
      <c r="A391" s="32" t="n"/>
      <c r="B391" s="32" t="n"/>
      <c r="C391" s="32" t="n"/>
      <c r="D391" s="35" t="n"/>
      <c r="E391" s="32" t="n"/>
      <c r="F391" s="32" t="n"/>
      <c r="G391" s="32" t="n"/>
      <c r="H391" s="33">
        <f>IF(A391="","",COUNTIFS('Run sessions'!$A$2:$A$401,A391,'Run sessions'!$B$2:$B$401,B391))</f>
        <v/>
      </c>
      <c r="I391" s="33">
        <f>IF(OR(A391="",D391=""),"",IFERROR(ROUND(D391*IF(INDEX(Programmes!$L$2:$L$10,MATCH(A391,Programmes!$A$2:$A$10,0))="",INDEX(Programmes!$K$2:$K$10,MATCH(A391,Programmes!$A$2:$A$10,0)),INDEX(Programmes!$L$2:$L$10,MATCH(A391,Programmes!$A$2:$A$10,0))),1),""))</f>
        <v/>
      </c>
      <c r="J391" s="33">
        <f>IF(I391="","",IF(LOWER(E391)="auto",ROUND(I391*Rules!$C$8,1),IF(RIGHT(E391,1)="%",ROUND(I391*VALUE(LEFT(E391,LEN(E391)-1))/100,1),IF(RIGHT(LOWER(E391),2)="km",VALUE(LEFT(E391,LEN(E391)-2)),IF(LOWER(E391)="race","race",E391)))))</f>
        <v/>
      </c>
    </row>
    <row r="392" ht="15" customHeight="1" s="21">
      <c r="A392" s="32" t="n"/>
      <c r="B392" s="32" t="n"/>
      <c r="C392" s="32" t="n"/>
      <c r="D392" s="35" t="n"/>
      <c r="E392" s="32" t="n"/>
      <c r="F392" s="32" t="n"/>
      <c r="G392" s="32" t="n"/>
      <c r="H392" s="33">
        <f>IF(A392="","",COUNTIFS('Run sessions'!$A$2:$A$401,A392,'Run sessions'!$B$2:$B$401,B392))</f>
        <v/>
      </c>
      <c r="I392" s="33">
        <f>IF(OR(A392="",D392=""),"",IFERROR(ROUND(D392*IF(INDEX(Programmes!$L$2:$L$10,MATCH(A392,Programmes!$A$2:$A$10,0))="",INDEX(Programmes!$K$2:$K$10,MATCH(A392,Programmes!$A$2:$A$10,0)),INDEX(Programmes!$L$2:$L$10,MATCH(A392,Programmes!$A$2:$A$10,0))),1),""))</f>
        <v/>
      </c>
      <c r="J392" s="33">
        <f>IF(I392="","",IF(LOWER(E392)="auto",ROUND(I392*Rules!$C$8,1),IF(RIGHT(E392,1)="%",ROUND(I392*VALUE(LEFT(E392,LEN(E392)-1))/100,1),IF(RIGHT(LOWER(E392),2)="km",VALUE(LEFT(E392,LEN(E392)-2)),IF(LOWER(E392)="race","race",E392)))))</f>
        <v/>
      </c>
    </row>
    <row r="393" ht="15" customHeight="1" s="21">
      <c r="A393" s="32" t="n"/>
      <c r="B393" s="32" t="n"/>
      <c r="C393" s="32" t="n"/>
      <c r="D393" s="35" t="n"/>
      <c r="E393" s="32" t="n"/>
      <c r="F393" s="32" t="n"/>
      <c r="G393" s="32" t="n"/>
      <c r="H393" s="33">
        <f>IF(A393="","",COUNTIFS('Run sessions'!$A$2:$A$401,A393,'Run sessions'!$B$2:$B$401,B393))</f>
        <v/>
      </c>
      <c r="I393" s="33">
        <f>IF(OR(A393="",D393=""),"",IFERROR(ROUND(D393*IF(INDEX(Programmes!$L$2:$L$10,MATCH(A393,Programmes!$A$2:$A$10,0))="",INDEX(Programmes!$K$2:$K$10,MATCH(A393,Programmes!$A$2:$A$10,0)),INDEX(Programmes!$L$2:$L$10,MATCH(A393,Programmes!$A$2:$A$10,0))),1),""))</f>
        <v/>
      </c>
      <c r="J393" s="33">
        <f>IF(I393="","",IF(LOWER(E393)="auto",ROUND(I393*Rules!$C$8,1),IF(RIGHT(E393,1)="%",ROUND(I393*VALUE(LEFT(E393,LEN(E393)-1))/100,1),IF(RIGHT(LOWER(E393),2)="km",VALUE(LEFT(E393,LEN(E393)-2)),IF(LOWER(E393)="race","race",E393)))))</f>
        <v/>
      </c>
    </row>
    <row r="394" ht="15" customHeight="1" s="21">
      <c r="A394" s="32" t="n"/>
      <c r="B394" s="32" t="n"/>
      <c r="C394" s="32" t="n"/>
      <c r="D394" s="35" t="n"/>
      <c r="E394" s="32" t="n"/>
      <c r="F394" s="32" t="n"/>
      <c r="G394" s="32" t="n"/>
      <c r="H394" s="33">
        <f>IF(A394="","",COUNTIFS('Run sessions'!$A$2:$A$401,A394,'Run sessions'!$B$2:$B$401,B394))</f>
        <v/>
      </c>
      <c r="I394" s="33">
        <f>IF(OR(A394="",D394=""),"",IFERROR(ROUND(D394*IF(INDEX(Programmes!$L$2:$L$10,MATCH(A394,Programmes!$A$2:$A$10,0))="",INDEX(Programmes!$K$2:$K$10,MATCH(A394,Programmes!$A$2:$A$10,0)),INDEX(Programmes!$L$2:$L$10,MATCH(A394,Programmes!$A$2:$A$10,0))),1),""))</f>
        <v/>
      </c>
      <c r="J394" s="33">
        <f>IF(I394="","",IF(LOWER(E394)="auto",ROUND(I394*Rules!$C$8,1),IF(RIGHT(E394,1)="%",ROUND(I394*VALUE(LEFT(E394,LEN(E394)-1))/100,1),IF(RIGHT(LOWER(E394),2)="km",VALUE(LEFT(E394,LEN(E394)-2)),IF(LOWER(E394)="race","race",E394)))))</f>
        <v/>
      </c>
    </row>
    <row r="395" ht="15" customHeight="1" s="21">
      <c r="A395" s="32" t="n"/>
      <c r="B395" s="32" t="n"/>
      <c r="C395" s="32" t="n"/>
      <c r="D395" s="35" t="n"/>
      <c r="E395" s="32" t="n"/>
      <c r="F395" s="32" t="n"/>
      <c r="G395" s="32" t="n"/>
      <c r="H395" s="33">
        <f>IF(A395="","",COUNTIFS('Run sessions'!$A$2:$A$401,A395,'Run sessions'!$B$2:$B$401,B395))</f>
        <v/>
      </c>
      <c r="I395" s="33">
        <f>IF(OR(A395="",D395=""),"",IFERROR(ROUND(D395*IF(INDEX(Programmes!$L$2:$L$10,MATCH(A395,Programmes!$A$2:$A$10,0))="",INDEX(Programmes!$K$2:$K$10,MATCH(A395,Programmes!$A$2:$A$10,0)),INDEX(Programmes!$L$2:$L$10,MATCH(A395,Programmes!$A$2:$A$10,0))),1),""))</f>
        <v/>
      </c>
      <c r="J395" s="33">
        <f>IF(I395="","",IF(LOWER(E395)="auto",ROUND(I395*Rules!$C$8,1),IF(RIGHT(E395,1)="%",ROUND(I395*VALUE(LEFT(E395,LEN(E395)-1))/100,1),IF(RIGHT(LOWER(E395),2)="km",VALUE(LEFT(E395,LEN(E395)-2)),IF(LOWER(E395)="race","race",E395)))))</f>
        <v/>
      </c>
    </row>
    <row r="396" ht="15" customHeight="1" s="21">
      <c r="A396" s="32" t="n"/>
      <c r="B396" s="32" t="n"/>
      <c r="C396" s="32" t="n"/>
      <c r="D396" s="35" t="n"/>
      <c r="E396" s="32" t="n"/>
      <c r="F396" s="32" t="n"/>
      <c r="G396" s="32" t="n"/>
      <c r="H396" s="33">
        <f>IF(A396="","",COUNTIFS('Run sessions'!$A$2:$A$401,A396,'Run sessions'!$B$2:$B$401,B396))</f>
        <v/>
      </c>
      <c r="I396" s="33">
        <f>IF(OR(A396="",D396=""),"",IFERROR(ROUND(D396*IF(INDEX(Programmes!$L$2:$L$10,MATCH(A396,Programmes!$A$2:$A$10,0))="",INDEX(Programmes!$K$2:$K$10,MATCH(A396,Programmes!$A$2:$A$10,0)),INDEX(Programmes!$L$2:$L$10,MATCH(A396,Programmes!$A$2:$A$10,0))),1),""))</f>
        <v/>
      </c>
      <c r="J396" s="33">
        <f>IF(I396="","",IF(LOWER(E396)="auto",ROUND(I396*Rules!$C$8,1),IF(RIGHT(E396,1)="%",ROUND(I396*VALUE(LEFT(E396,LEN(E396)-1))/100,1),IF(RIGHT(LOWER(E396),2)="km",VALUE(LEFT(E396,LEN(E396)-2)),IF(LOWER(E396)="race","race",E396)))))</f>
        <v/>
      </c>
    </row>
    <row r="397" ht="15" customHeight="1" s="21">
      <c r="A397" s="32" t="n"/>
      <c r="B397" s="32" t="n"/>
      <c r="C397" s="32" t="n"/>
      <c r="D397" s="35" t="n"/>
      <c r="E397" s="32" t="n"/>
      <c r="F397" s="32" t="n"/>
      <c r="G397" s="32" t="n"/>
      <c r="H397" s="33">
        <f>IF(A397="","",COUNTIFS('Run sessions'!$A$2:$A$401,A397,'Run sessions'!$B$2:$B$401,B397))</f>
        <v/>
      </c>
      <c r="I397" s="33">
        <f>IF(OR(A397="",D397=""),"",IFERROR(ROUND(D397*IF(INDEX(Programmes!$L$2:$L$10,MATCH(A397,Programmes!$A$2:$A$10,0))="",INDEX(Programmes!$K$2:$K$10,MATCH(A397,Programmes!$A$2:$A$10,0)),INDEX(Programmes!$L$2:$L$10,MATCH(A397,Programmes!$A$2:$A$10,0))),1),""))</f>
        <v/>
      </c>
      <c r="J397" s="33">
        <f>IF(I397="","",IF(LOWER(E397)="auto",ROUND(I397*Rules!$C$8,1),IF(RIGHT(E397,1)="%",ROUND(I397*VALUE(LEFT(E397,LEN(E397)-1))/100,1),IF(RIGHT(LOWER(E397),2)="km",VALUE(LEFT(E397,LEN(E397)-2)),IF(LOWER(E397)="race","race",E397)))))</f>
        <v/>
      </c>
    </row>
    <row r="398" ht="15" customHeight="1" s="21">
      <c r="A398" s="32" t="n"/>
      <c r="B398" s="32" t="n"/>
      <c r="C398" s="32" t="n"/>
      <c r="D398" s="35" t="n"/>
      <c r="E398" s="32" t="n"/>
      <c r="F398" s="32" t="n"/>
      <c r="G398" s="32" t="n"/>
      <c r="H398" s="33">
        <f>IF(A398="","",COUNTIFS('Run sessions'!$A$2:$A$401,A398,'Run sessions'!$B$2:$B$401,B398))</f>
        <v/>
      </c>
      <c r="I398" s="33">
        <f>IF(OR(A398="",D398=""),"",IFERROR(ROUND(D398*IF(INDEX(Programmes!$L$2:$L$10,MATCH(A398,Programmes!$A$2:$A$10,0))="",INDEX(Programmes!$K$2:$K$10,MATCH(A398,Programmes!$A$2:$A$10,0)),INDEX(Programmes!$L$2:$L$10,MATCH(A398,Programmes!$A$2:$A$10,0))),1),""))</f>
        <v/>
      </c>
      <c r="J398" s="33">
        <f>IF(I398="","",IF(LOWER(E398)="auto",ROUND(I398*Rules!$C$8,1),IF(RIGHT(E398,1)="%",ROUND(I398*VALUE(LEFT(E398,LEN(E398)-1))/100,1),IF(RIGHT(LOWER(E398),2)="km",VALUE(LEFT(E398,LEN(E398)-2)),IF(LOWER(E398)="race","race",E398)))))</f>
        <v/>
      </c>
    </row>
    <row r="399" ht="15" customHeight="1" s="21">
      <c r="A399" s="32" t="n"/>
      <c r="B399" s="32" t="n"/>
      <c r="C399" s="32" t="n"/>
      <c r="D399" s="35" t="n"/>
      <c r="E399" s="32" t="n"/>
      <c r="F399" s="32" t="n"/>
      <c r="G399" s="32" t="n"/>
      <c r="H399" s="33">
        <f>IF(A399="","",COUNTIFS('Run sessions'!$A$2:$A$401,A399,'Run sessions'!$B$2:$B$401,B399))</f>
        <v/>
      </c>
      <c r="I399" s="33">
        <f>IF(OR(A399="",D399=""),"",IFERROR(ROUND(D399*IF(INDEX(Programmes!$L$2:$L$10,MATCH(A399,Programmes!$A$2:$A$10,0))="",INDEX(Programmes!$K$2:$K$10,MATCH(A399,Programmes!$A$2:$A$10,0)),INDEX(Programmes!$L$2:$L$10,MATCH(A399,Programmes!$A$2:$A$10,0))),1),""))</f>
        <v/>
      </c>
      <c r="J399" s="33">
        <f>IF(I399="","",IF(LOWER(E399)="auto",ROUND(I399*Rules!$C$8,1),IF(RIGHT(E399,1)="%",ROUND(I399*VALUE(LEFT(E399,LEN(E399)-1))/100,1),IF(RIGHT(LOWER(E399),2)="km",VALUE(LEFT(E399,LEN(E399)-2)),IF(LOWER(E399)="race","race",E399)))))</f>
        <v/>
      </c>
    </row>
    <row r="400" ht="15" customHeight="1" s="21">
      <c r="A400" s="32" t="n"/>
      <c r="B400" s="32" t="n"/>
      <c r="C400" s="32" t="n"/>
      <c r="D400" s="35" t="n"/>
      <c r="E400" s="32" t="n"/>
      <c r="F400" s="32" t="n"/>
      <c r="G400" s="32" t="n"/>
      <c r="H400" s="33">
        <f>IF(A400="","",COUNTIFS('Run sessions'!$A$2:$A$401,A400,'Run sessions'!$B$2:$B$401,B400))</f>
        <v/>
      </c>
      <c r="I400" s="33">
        <f>IF(OR(A400="",D400=""),"",IFERROR(ROUND(D400*IF(INDEX(Programmes!$L$2:$L$10,MATCH(A400,Programmes!$A$2:$A$10,0))="",INDEX(Programmes!$K$2:$K$10,MATCH(A400,Programmes!$A$2:$A$10,0)),INDEX(Programmes!$L$2:$L$10,MATCH(A400,Programmes!$A$2:$A$10,0))),1),""))</f>
        <v/>
      </c>
      <c r="J400" s="33">
        <f>IF(I400="","",IF(LOWER(E400)="auto",ROUND(I400*Rules!$C$8,1),IF(RIGHT(E400,1)="%",ROUND(I400*VALUE(LEFT(E400,LEN(E400)-1))/100,1),IF(RIGHT(LOWER(E400),2)="km",VALUE(LEFT(E400,LEN(E400)-2)),IF(LOWER(E400)="race","race",E400)))))</f>
        <v/>
      </c>
    </row>
    <row r="401" ht="15" customHeight="1" s="21">
      <c r="A401" s="32" t="n"/>
      <c r="B401" s="32" t="n"/>
      <c r="C401" s="32" t="n"/>
      <c r="D401" s="35" t="n"/>
      <c r="E401" s="32" t="n"/>
      <c r="F401" s="32" t="n"/>
      <c r="G401" s="32" t="n"/>
      <c r="H401" s="33">
        <f>IF(A401="","",COUNTIFS('Run sessions'!$A$2:$A$401,A401,'Run sessions'!$B$2:$B$401,B401))</f>
        <v/>
      </c>
      <c r="I401" s="33">
        <f>IF(OR(A401="",D401=""),"",IFERROR(ROUND(D401*IF(INDEX(Programmes!$L$2:$L$10,MATCH(A401,Programmes!$A$2:$A$10,0))="",INDEX(Programmes!$K$2:$K$10,MATCH(A401,Programmes!$A$2:$A$10,0)),INDEX(Programmes!$L$2:$L$10,MATCH(A401,Programmes!$A$2:$A$10,0))),1),""))</f>
        <v/>
      </c>
      <c r="J401" s="33">
        <f>IF(I401="","",IF(LOWER(E401)="auto",ROUND(I401*Rules!$C$8,1),IF(RIGHT(E401,1)="%",ROUND(I401*VALUE(LEFT(E401,LEN(E401)-1))/100,1),IF(RIGHT(LOWER(E401),2)="km",VALUE(LEFT(E401,LEN(E401)-2)),IF(LOWER(E401)="race","race",E401)))))</f>
        <v/>
      </c>
    </row>
  </sheetData>
  <dataValidations count="3">
    <dataValidation sqref="A2:A401" showDropDown="0" showInputMessage="0" showErrorMessage="1" allowBlank="1" errorTitle="Choose from the list" error="Pick one of the options in the drop-down." type="list" errorStyle="stop" operator="between">
      <formula1>Lists!$A$2:$A$10</formula1>
      <formula2>0</formula2>
    </dataValidation>
    <dataValidation sqref="C2:C401" showDropDown="0" showInputMessage="0" showErrorMessage="1" allowBlank="1" errorTitle="Choose from the list" error="Pick one of the options in the drop-down." type="list" errorStyle="stop" operator="between">
      <formula1>Lists!$C$2:$C$7</formula1>
      <formula2>0</formula2>
    </dataValidation>
    <dataValidation sqref="F2:F401" showDropDown="0" showInputMessage="1" showErrorMessage="1" allowBlank="1" errorTitle="Choose from the list" error="Pick one of the options in the drop-down." promptTitle="Tip" prompt="How hard the lifting is this week: Heavy, Normal, Light (deload) or None." type="list" errorStyle="stop" operator="between">
      <formula1>Lists!$H$2:$H$5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G401"/>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7" customWidth="1" style="20" min="2" max="2"/>
    <col width="8" customWidth="1" style="20" min="3" max="3"/>
    <col width="13" customWidth="1" style="20" min="4" max="4"/>
    <col width="11" customWidth="1" style="20" min="5" max="5"/>
    <col width="60" customWidth="1" style="20" min="6" max="6"/>
    <col width="46" customWidth="1" style="20" min="7" max="7"/>
  </cols>
  <sheetData>
    <row r="1" ht="31.5" customHeight="1" s="21">
      <c r="A1" s="31" t="inlineStr">
        <is>
          <t>Programme</t>
        </is>
      </c>
      <c r="B1" s="31" t="inlineStr">
        <is>
          <t>Week</t>
        </is>
      </c>
      <c r="C1" s="31" t="inlineStr">
        <is>
          <t>Order in week</t>
        </is>
      </c>
      <c r="D1" s="31" t="inlineStr">
        <is>
          <t>Session type</t>
        </is>
      </c>
      <c r="E1" s="31" t="inlineStr">
        <is>
          <t>Distance</t>
        </is>
      </c>
      <c r="F1" s="31" t="inlineStr">
        <is>
          <t>Workout</t>
        </is>
      </c>
      <c r="G1" s="31" t="inlineStr">
        <is>
          <t>Notes for the runner</t>
        </is>
      </c>
    </row>
    <row r="2" ht="15" customHeight="1" s="21">
      <c r="A2" s="32" t="inlineStr">
        <is>
          <t>Half marathon</t>
        </is>
      </c>
      <c r="B2" s="32" t="n">
        <v>1</v>
      </c>
      <c r="C2" s="32" t="n">
        <v>1</v>
      </c>
      <c r="D2" s="32" t="inlineStr">
        <is>
          <t>Fartlek</t>
        </is>
      </c>
      <c r="E2" s="32" t="inlineStr">
        <is>
          <t>auto</t>
        </is>
      </c>
      <c r="F2" s="32" t="inlineStr">
        <is>
          <t>8 x (1 min @ I / 1 min E)</t>
        </is>
      </c>
      <c r="G2" s="32" t="n"/>
    </row>
    <row r="3" ht="15" customHeight="1" s="21">
      <c r="A3" s="32" t="inlineStr">
        <is>
          <t>Half marathon</t>
        </is>
      </c>
      <c r="B3" s="32" t="n">
        <v>1</v>
      </c>
      <c r="C3" s="32" t="n">
        <v>2</v>
      </c>
      <c r="D3" s="32" t="inlineStr">
        <is>
          <t>Easy</t>
        </is>
      </c>
      <c r="E3" s="32" t="inlineStr">
        <is>
          <t>auto</t>
        </is>
      </c>
      <c r="F3" s="32" t="inlineStr">
        <is>
          <t>E continuous run</t>
        </is>
      </c>
      <c r="G3" s="32" t="n"/>
    </row>
    <row r="4" ht="15" customHeight="1" s="21">
      <c r="A4" s="32" t="inlineStr">
        <is>
          <t>Half marathon</t>
        </is>
      </c>
      <c r="B4" s="32" t="n">
        <v>1</v>
      </c>
      <c r="C4" s="32" t="n">
        <v>3</v>
      </c>
      <c r="D4" s="32" t="inlineStr">
        <is>
          <t>Progression</t>
        </is>
      </c>
      <c r="E4" s="32" t="inlineStr">
        <is>
          <t>auto</t>
        </is>
      </c>
      <c r="F4" s="32" t="inlineStr">
        <is>
          <t>4 km E → 3 km STEADY → 1 km HM</t>
        </is>
      </c>
      <c r="G4" s="32" t="n"/>
    </row>
    <row r="5" ht="15" customHeight="1" s="21">
      <c r="A5" s="32" t="inlineStr">
        <is>
          <t>Half marathon</t>
        </is>
      </c>
      <c r="B5" s="32" t="n">
        <v>1</v>
      </c>
      <c r="C5" s="32" t="n">
        <v>4</v>
      </c>
      <c r="D5" s="32" t="inlineStr">
        <is>
          <t>Long</t>
        </is>
      </c>
      <c r="E5" s="32" t="inlineStr">
        <is>
          <t>auto</t>
        </is>
      </c>
      <c r="F5" s="32" t="inlineStr">
        <is>
          <t>Long run, conversational throughout</t>
        </is>
      </c>
      <c r="G5" s="32" t="n"/>
    </row>
    <row r="6" ht="15" customHeight="1" s="21">
      <c r="A6" s="32" t="inlineStr">
        <is>
          <t>Half marathon</t>
        </is>
      </c>
      <c r="B6" s="32" t="n">
        <v>2</v>
      </c>
      <c r="C6" s="32" t="n">
        <v>1</v>
      </c>
      <c r="D6" s="32" t="inlineStr">
        <is>
          <t>Hills</t>
        </is>
      </c>
      <c r="E6" s="32" t="inlineStr">
        <is>
          <t>auto</t>
        </is>
      </c>
      <c r="F6" s="32" t="inlineStr">
        <is>
          <t>8 x 60 s uphill @ hard effort, jog back down as recovery</t>
        </is>
      </c>
      <c r="G6" s="32" t="n"/>
    </row>
    <row r="7" ht="15" customHeight="1" s="21">
      <c r="A7" s="32" t="inlineStr">
        <is>
          <t>Half marathon</t>
        </is>
      </c>
      <c r="B7" s="32" t="n">
        <v>2</v>
      </c>
      <c r="C7" s="32" t="n">
        <v>2</v>
      </c>
      <c r="D7" s="32" t="inlineStr">
        <is>
          <t>Recovery</t>
        </is>
      </c>
      <c r="E7" s="32" t="inlineStr">
        <is>
          <t>auto</t>
        </is>
      </c>
      <c r="F7" s="32" t="inlineStr">
        <is>
          <t>Very relaxed recovery run</t>
        </is>
      </c>
      <c r="G7" s="32" t="n"/>
    </row>
    <row r="8" ht="15" customHeight="1" s="21">
      <c r="A8" s="32" t="inlineStr">
        <is>
          <t>Half marathon</t>
        </is>
      </c>
      <c r="B8" s="32" t="n">
        <v>2</v>
      </c>
      <c r="C8" s="32" t="n">
        <v>3</v>
      </c>
      <c r="D8" s="32" t="inlineStr">
        <is>
          <t>Tempo</t>
        </is>
      </c>
      <c r="E8" s="32" t="inlineStr">
        <is>
          <t>auto</t>
        </is>
      </c>
      <c r="F8" s="32" t="inlineStr">
        <is>
          <t>2 x 8 min @ T, 2 min jog between</t>
        </is>
      </c>
      <c r="G8" s="32" t="n"/>
    </row>
    <row r="9" ht="15" customHeight="1" s="21">
      <c r="A9" s="32" t="inlineStr">
        <is>
          <t>Half marathon</t>
        </is>
      </c>
      <c r="B9" s="32" t="n">
        <v>2</v>
      </c>
      <c r="C9" s="32" t="n">
        <v>4</v>
      </c>
      <c r="D9" s="32" t="inlineStr">
        <is>
          <t>Long</t>
        </is>
      </c>
      <c r="E9" s="32" t="inlineStr">
        <is>
          <t>auto</t>
        </is>
      </c>
      <c r="F9" s="32" t="inlineStr">
        <is>
          <t>Long run, conversational throughout</t>
        </is>
      </c>
      <c r="G9" s="32" t="n"/>
    </row>
    <row r="10" ht="15" customHeight="1" s="21">
      <c r="A10" s="32" t="inlineStr">
        <is>
          <t>Half marathon</t>
        </is>
      </c>
      <c r="B10" s="32" t="n">
        <v>3</v>
      </c>
      <c r="C10" s="32" t="n">
        <v>1</v>
      </c>
      <c r="D10" s="32" t="inlineStr">
        <is>
          <t>Intervals</t>
        </is>
      </c>
      <c r="E10" s="32" t="inlineStr">
        <is>
          <t>auto</t>
        </is>
      </c>
      <c r="F10" s="32" t="inlineStr">
        <is>
          <t>6 x 800 m @ I , 90 s jog between</t>
        </is>
      </c>
      <c r="G10" s="32" t="n"/>
    </row>
    <row r="11" ht="15" customHeight="1" s="21">
      <c r="A11" s="32" t="inlineStr">
        <is>
          <t>Half marathon</t>
        </is>
      </c>
      <c r="B11" s="32" t="n">
        <v>3</v>
      </c>
      <c r="C11" s="32" t="n">
        <v>2</v>
      </c>
      <c r="D11" s="32" t="inlineStr">
        <is>
          <t>Easy</t>
        </is>
      </c>
      <c r="E11" s="32" t="inlineStr">
        <is>
          <t>auto</t>
        </is>
      </c>
      <c r="F11" s="32" t="inlineStr">
        <is>
          <t>E continuous run</t>
        </is>
      </c>
      <c r="G11" s="32" t="n"/>
    </row>
    <row r="12" ht="15" customHeight="1" s="21">
      <c r="A12" s="32" t="inlineStr">
        <is>
          <t>Half marathon</t>
        </is>
      </c>
      <c r="B12" s="32" t="n">
        <v>3</v>
      </c>
      <c r="C12" s="32" t="n">
        <v>3</v>
      </c>
      <c r="D12" s="32" t="inlineStr">
        <is>
          <t>Progression</t>
        </is>
      </c>
      <c r="E12" s="32" t="inlineStr">
        <is>
          <t>auto</t>
        </is>
      </c>
      <c r="F12" s="32" t="inlineStr">
        <is>
          <t>4 km E → 3 km STEADY → 2 km HM</t>
        </is>
      </c>
      <c r="G12" s="32" t="n"/>
    </row>
    <row r="13" ht="15" customHeight="1" s="21">
      <c r="A13" s="32" t="inlineStr">
        <is>
          <t>Half marathon</t>
        </is>
      </c>
      <c r="B13" s="32" t="n">
        <v>3</v>
      </c>
      <c r="C13" s="32" t="n">
        <v>4</v>
      </c>
      <c r="D13" s="32" t="inlineStr">
        <is>
          <t>Long</t>
        </is>
      </c>
      <c r="E13" s="32" t="inlineStr">
        <is>
          <t>auto</t>
        </is>
      </c>
      <c r="F13" s="32" t="inlineStr">
        <is>
          <t>Long run, conversational throughout</t>
        </is>
      </c>
      <c r="G13" s="32" t="n"/>
    </row>
    <row r="14" ht="15" customHeight="1" s="21">
      <c r="A14" s="32" t="inlineStr">
        <is>
          <t>Half marathon</t>
        </is>
      </c>
      <c r="B14" s="32" t="n">
        <v>4</v>
      </c>
      <c r="C14" s="32" t="n">
        <v>1</v>
      </c>
      <c r="D14" s="32" t="inlineStr">
        <is>
          <t>Fartlek</t>
        </is>
      </c>
      <c r="E14" s="32" t="inlineStr">
        <is>
          <t>auto</t>
        </is>
      </c>
      <c r="F14" s="32" t="inlineStr">
        <is>
          <t>6 x (2 min @ T effort / 1 min E)</t>
        </is>
      </c>
      <c r="G14" s="32" t="n"/>
    </row>
    <row r="15" ht="15" customHeight="1" s="21">
      <c r="A15" s="32" t="inlineStr">
        <is>
          <t>Half marathon</t>
        </is>
      </c>
      <c r="B15" s="32" t="n">
        <v>4</v>
      </c>
      <c r="C15" s="32" t="n">
        <v>2</v>
      </c>
      <c r="D15" s="32" t="inlineStr">
        <is>
          <t>Recovery</t>
        </is>
      </c>
      <c r="E15" s="32" t="inlineStr">
        <is>
          <t>auto</t>
        </is>
      </c>
      <c r="F15" s="32" t="inlineStr">
        <is>
          <t>Very relaxed recovery run</t>
        </is>
      </c>
      <c r="G15" s="32" t="n"/>
    </row>
    <row r="16" ht="15" customHeight="1" s="21">
      <c r="A16" s="32" t="inlineStr">
        <is>
          <t>Half marathon</t>
        </is>
      </c>
      <c r="B16" s="32" t="n">
        <v>4</v>
      </c>
      <c r="C16" s="32" t="n">
        <v>3</v>
      </c>
      <c r="D16" s="32" t="inlineStr">
        <is>
          <t>Tempo</t>
        </is>
      </c>
      <c r="E16" s="32" t="inlineStr">
        <is>
          <t>auto</t>
        </is>
      </c>
      <c r="F16" s="32" t="inlineStr">
        <is>
          <t>15 min continuous @ T</t>
        </is>
      </c>
      <c r="G16" s="32" t="n"/>
    </row>
    <row r="17" ht="15" customHeight="1" s="21">
      <c r="A17" s="32" t="inlineStr">
        <is>
          <t>Half marathon</t>
        </is>
      </c>
      <c r="B17" s="32" t="n">
        <v>4</v>
      </c>
      <c r="C17" s="32" t="n">
        <v>4</v>
      </c>
      <c r="D17" s="32" t="inlineStr">
        <is>
          <t>Long</t>
        </is>
      </c>
      <c r="E17" s="32" t="inlineStr">
        <is>
          <t>auto</t>
        </is>
      </c>
      <c r="F17" s="32" t="inlineStr">
        <is>
          <t>Shorter long run, E</t>
        </is>
      </c>
      <c r="G17" s="32" t="n"/>
    </row>
    <row r="18" ht="15" customHeight="1" s="21">
      <c r="A18" s="32" t="inlineStr">
        <is>
          <t>Half marathon</t>
        </is>
      </c>
      <c r="B18" s="32" t="n">
        <v>5</v>
      </c>
      <c r="C18" s="32" t="n">
        <v>1</v>
      </c>
      <c r="D18" s="32" t="inlineStr">
        <is>
          <t>Hills</t>
        </is>
      </c>
      <c r="E18" s="32" t="inlineStr">
        <is>
          <t>auto</t>
        </is>
      </c>
      <c r="F18" s="32" t="inlineStr">
        <is>
          <t>10 x 75 s uphill @ hard effort, jog back down</t>
        </is>
      </c>
      <c r="G18" s="32" t="n"/>
    </row>
    <row r="19" ht="15" customHeight="1" s="21">
      <c r="A19" s="32" t="inlineStr">
        <is>
          <t>Half marathon</t>
        </is>
      </c>
      <c r="B19" s="32" t="n">
        <v>5</v>
      </c>
      <c r="C19" s="32" t="n">
        <v>2</v>
      </c>
      <c r="D19" s="32" t="inlineStr">
        <is>
          <t>Easy</t>
        </is>
      </c>
      <c r="E19" s="32" t="inlineStr">
        <is>
          <t>auto</t>
        </is>
      </c>
      <c r="F19" s="32" t="inlineStr">
        <is>
          <t>E continuous run</t>
        </is>
      </c>
      <c r="G19" s="32" t="n"/>
    </row>
    <row r="20" ht="15" customHeight="1" s="21">
      <c r="A20" s="32" t="inlineStr">
        <is>
          <t>Half marathon</t>
        </is>
      </c>
      <c r="B20" s="32" t="n">
        <v>5</v>
      </c>
      <c r="C20" s="32" t="n">
        <v>3</v>
      </c>
      <c r="D20" s="32" t="inlineStr">
        <is>
          <t>Tempo</t>
        </is>
      </c>
      <c r="E20" s="32" t="inlineStr">
        <is>
          <t>auto</t>
        </is>
      </c>
      <c r="F20" s="32" t="inlineStr">
        <is>
          <t>3 x 8 min @ T, 2 min jog between</t>
        </is>
      </c>
      <c r="G20" s="32" t="n"/>
    </row>
    <row r="21" ht="15" customHeight="1" s="21">
      <c r="A21" s="32" t="inlineStr">
        <is>
          <t>Half marathon</t>
        </is>
      </c>
      <c r="B21" s="32" t="n">
        <v>5</v>
      </c>
      <c r="C21" s="32" t="n">
        <v>4</v>
      </c>
      <c r="D21" s="32" t="inlineStr">
        <is>
          <t>Long</t>
        </is>
      </c>
      <c r="E21" s="32" t="inlineStr">
        <is>
          <t>auto</t>
        </is>
      </c>
      <c r="F21" s="32" t="inlineStr">
        <is>
          <t>13 km E, final 3 km @ STEADY</t>
        </is>
      </c>
      <c r="G21" s="32" t="n"/>
    </row>
    <row r="22" ht="15" customHeight="1" s="21">
      <c r="A22" s="32" t="inlineStr">
        <is>
          <t>Half marathon</t>
        </is>
      </c>
      <c r="B22" s="32" t="n">
        <v>6</v>
      </c>
      <c r="C22" s="32" t="n">
        <v>1</v>
      </c>
      <c r="D22" s="32" t="inlineStr">
        <is>
          <t>Intervals</t>
        </is>
      </c>
      <c r="E22" s="32" t="inlineStr">
        <is>
          <t>auto</t>
        </is>
      </c>
      <c r="F22" s="32" t="inlineStr">
        <is>
          <t>5 x 1 km @ I , 2 min jog between</t>
        </is>
      </c>
      <c r="G22" s="32" t="n"/>
    </row>
    <row r="23" ht="15" customHeight="1" s="21">
      <c r="A23" s="32" t="inlineStr">
        <is>
          <t>Half marathon</t>
        </is>
      </c>
      <c r="B23" s="32" t="n">
        <v>6</v>
      </c>
      <c r="C23" s="32" t="n">
        <v>2</v>
      </c>
      <c r="D23" s="32" t="inlineStr">
        <is>
          <t>Recovery</t>
        </is>
      </c>
      <c r="E23" s="32" t="inlineStr">
        <is>
          <t>auto</t>
        </is>
      </c>
      <c r="F23" s="32" t="inlineStr">
        <is>
          <t>Very relaxed recovery run</t>
        </is>
      </c>
      <c r="G23" s="32" t="n"/>
    </row>
    <row r="24" ht="15" customHeight="1" s="21">
      <c r="A24" s="32" t="inlineStr">
        <is>
          <t>Half marathon</t>
        </is>
      </c>
      <c r="B24" s="32" t="n">
        <v>6</v>
      </c>
      <c r="C24" s="32" t="n">
        <v>3</v>
      </c>
      <c r="D24" s="32" t="inlineStr">
        <is>
          <t>Progression</t>
        </is>
      </c>
      <c r="E24" s="32" t="inlineStr">
        <is>
          <t>auto</t>
        </is>
      </c>
      <c r="F24" s="32" t="inlineStr">
        <is>
          <t>4 km E → 3 km STEADY → 3 km HM</t>
        </is>
      </c>
      <c r="G24" s="32" t="n"/>
    </row>
    <row r="25" ht="15" customHeight="1" s="21">
      <c r="A25" s="32" t="inlineStr">
        <is>
          <t>Half marathon</t>
        </is>
      </c>
      <c r="B25" s="32" t="n">
        <v>6</v>
      </c>
      <c r="C25" s="32" t="n">
        <v>4</v>
      </c>
      <c r="D25" s="32" t="inlineStr">
        <is>
          <t>Long</t>
        </is>
      </c>
      <c r="E25" s="32" t="inlineStr">
        <is>
          <t>auto</t>
        </is>
      </c>
      <c r="F25" s="32" t="inlineStr">
        <is>
          <t>Long run, conversational throughout</t>
        </is>
      </c>
      <c r="G25" s="32" t="n"/>
    </row>
    <row r="26" ht="15" customHeight="1" s="21">
      <c r="A26" s="32" t="inlineStr">
        <is>
          <t>Half marathon</t>
        </is>
      </c>
      <c r="B26" s="32" t="n">
        <v>7</v>
      </c>
      <c r="C26" s="32" t="n">
        <v>1</v>
      </c>
      <c r="D26" s="32" t="inlineStr">
        <is>
          <t>Fartlek</t>
        </is>
      </c>
      <c r="E26" s="32" t="inlineStr">
        <is>
          <t>auto</t>
        </is>
      </c>
      <c r="F26" s="32" t="inlineStr">
        <is>
          <t>4 x (3 min @ 10K / 2 min @ HM / 1 min @ 5K / 2 min E)</t>
        </is>
      </c>
      <c r="G26" s="32" t="n"/>
    </row>
    <row r="27" ht="15" customHeight="1" s="21">
      <c r="A27" s="32" t="inlineStr">
        <is>
          <t>Half marathon</t>
        </is>
      </c>
      <c r="B27" s="32" t="n">
        <v>7</v>
      </c>
      <c r="C27" s="32" t="n">
        <v>2</v>
      </c>
      <c r="D27" s="32" t="inlineStr">
        <is>
          <t>Easy</t>
        </is>
      </c>
      <c r="E27" s="32" t="inlineStr">
        <is>
          <t>auto</t>
        </is>
      </c>
      <c r="F27" s="32" t="inlineStr">
        <is>
          <t>E continuous run</t>
        </is>
      </c>
      <c r="G27" s="32" t="n"/>
    </row>
    <row r="28" ht="15" customHeight="1" s="21">
      <c r="A28" s="32" t="inlineStr">
        <is>
          <t>Half marathon</t>
        </is>
      </c>
      <c r="B28" s="32" t="n">
        <v>7</v>
      </c>
      <c r="C28" s="32" t="n">
        <v>3</v>
      </c>
      <c r="D28" s="32" t="inlineStr">
        <is>
          <t>Tempo</t>
        </is>
      </c>
      <c r="E28" s="32" t="inlineStr">
        <is>
          <t>auto</t>
        </is>
      </c>
      <c r="F28" s="32" t="inlineStr">
        <is>
          <t>2 x 15 min @ T, 3 min jog between</t>
        </is>
      </c>
      <c r="G28" s="32" t="n"/>
    </row>
    <row r="29" ht="15" customHeight="1" s="21">
      <c r="A29" s="32" t="inlineStr">
        <is>
          <t>Half marathon</t>
        </is>
      </c>
      <c r="B29" s="32" t="n">
        <v>7</v>
      </c>
      <c r="C29" s="32" t="n">
        <v>4</v>
      </c>
      <c r="D29" s="32" t="inlineStr">
        <is>
          <t>Long</t>
        </is>
      </c>
      <c r="E29" s="32" t="inlineStr">
        <is>
          <t>auto</t>
        </is>
      </c>
      <c r="F29" s="32" t="inlineStr">
        <is>
          <t>13 km E, final 5 km @ HM</t>
        </is>
      </c>
      <c r="G29" s="32" t="n"/>
    </row>
    <row r="30" ht="15" customHeight="1" s="21">
      <c r="A30" s="32" t="inlineStr">
        <is>
          <t>Half marathon</t>
        </is>
      </c>
      <c r="B30" s="32" t="n">
        <v>8</v>
      </c>
      <c r="C30" s="32" t="n">
        <v>1</v>
      </c>
      <c r="D30" s="32" t="inlineStr">
        <is>
          <t>Hills</t>
        </is>
      </c>
      <c r="E30" s="32" t="inlineStr">
        <is>
          <t>auto</t>
        </is>
      </c>
      <c r="F30" s="32" t="inlineStr">
        <is>
          <t>8 x 90 s uphill @ hard effort, jog back down</t>
        </is>
      </c>
      <c r="G30" s="32" t="n"/>
    </row>
    <row r="31" ht="15" customHeight="1" s="21">
      <c r="A31" s="32" t="inlineStr">
        <is>
          <t>Half marathon</t>
        </is>
      </c>
      <c r="B31" s="32" t="n">
        <v>8</v>
      </c>
      <c r="C31" s="32" t="n">
        <v>2</v>
      </c>
      <c r="D31" s="32" t="inlineStr">
        <is>
          <t>Recovery</t>
        </is>
      </c>
      <c r="E31" s="32" t="inlineStr">
        <is>
          <t>auto</t>
        </is>
      </c>
      <c r="F31" s="32" t="inlineStr">
        <is>
          <t>Very relaxed recovery run</t>
        </is>
      </c>
      <c r="G31" s="32" t="n"/>
    </row>
    <row r="32" ht="15" customHeight="1" s="21">
      <c r="A32" s="32" t="inlineStr">
        <is>
          <t>Half marathon</t>
        </is>
      </c>
      <c r="B32" s="32" t="n">
        <v>8</v>
      </c>
      <c r="C32" s="32" t="n">
        <v>3</v>
      </c>
      <c r="D32" s="32" t="inlineStr">
        <is>
          <t>Progression</t>
        </is>
      </c>
      <c r="E32" s="32" t="inlineStr">
        <is>
          <t>auto</t>
        </is>
      </c>
      <c r="F32" s="32" t="inlineStr">
        <is>
          <t>3 km E → 3 km STEADY → 2 km T</t>
        </is>
      </c>
      <c r="G32" s="32" t="n"/>
    </row>
    <row r="33" ht="15" customHeight="1" s="21">
      <c r="A33" s="32" t="inlineStr">
        <is>
          <t>Half marathon</t>
        </is>
      </c>
      <c r="B33" s="32" t="n">
        <v>8</v>
      </c>
      <c r="C33" s="32" t="n">
        <v>4</v>
      </c>
      <c r="D33" s="32" t="inlineStr">
        <is>
          <t>Long</t>
        </is>
      </c>
      <c r="E33" s="32" t="inlineStr">
        <is>
          <t>auto</t>
        </is>
      </c>
      <c r="F33" s="32" t="inlineStr">
        <is>
          <t>Shorter long run, E</t>
        </is>
      </c>
      <c r="G33" s="32" t="n"/>
    </row>
    <row r="34" ht="15" customHeight="1" s="21">
      <c r="A34" s="32" t="inlineStr">
        <is>
          <t>Half marathon</t>
        </is>
      </c>
      <c r="B34" s="32" t="n">
        <v>9</v>
      </c>
      <c r="C34" s="32" t="n">
        <v>1</v>
      </c>
      <c r="D34" s="32" t="inlineStr">
        <is>
          <t>Intervals</t>
        </is>
      </c>
      <c r="E34" s="32" t="inlineStr">
        <is>
          <t>auto</t>
        </is>
      </c>
      <c r="F34" s="32" t="inlineStr">
        <is>
          <t>4 x 1.6 km @ 10K, 2 min jog between</t>
        </is>
      </c>
      <c r="G34" s="32" t="n"/>
    </row>
    <row r="35" ht="15" customHeight="1" s="21">
      <c r="A35" s="32" t="inlineStr">
        <is>
          <t>Half marathon</t>
        </is>
      </c>
      <c r="B35" s="32" t="n">
        <v>9</v>
      </c>
      <c r="C35" s="32" t="n">
        <v>2</v>
      </c>
      <c r="D35" s="32" t="inlineStr">
        <is>
          <t>Easy</t>
        </is>
      </c>
      <c r="E35" s="32" t="inlineStr">
        <is>
          <t>auto</t>
        </is>
      </c>
      <c r="F35" s="32" t="inlineStr">
        <is>
          <t>E continuous run</t>
        </is>
      </c>
      <c r="G35" s="32" t="n"/>
    </row>
    <row r="36" ht="15" customHeight="1" s="21">
      <c r="A36" s="32" t="inlineStr">
        <is>
          <t>Half marathon</t>
        </is>
      </c>
      <c r="B36" s="32" t="n">
        <v>9</v>
      </c>
      <c r="C36" s="32" t="n">
        <v>3</v>
      </c>
      <c r="D36" s="32" t="inlineStr">
        <is>
          <t>Tempo</t>
        </is>
      </c>
      <c r="E36" s="32" t="inlineStr">
        <is>
          <t>auto</t>
        </is>
      </c>
      <c r="F36" s="32" t="inlineStr">
        <is>
          <t>3 x 3 km @ HM, 90 s jog between</t>
        </is>
      </c>
      <c r="G36" s="32" t="n"/>
    </row>
    <row r="37" ht="15" customHeight="1" s="21">
      <c r="A37" s="32" t="inlineStr">
        <is>
          <t>Half marathon</t>
        </is>
      </c>
      <c r="B37" s="32" t="n">
        <v>9</v>
      </c>
      <c r="C37" s="32" t="n">
        <v>4</v>
      </c>
      <c r="D37" s="32" t="inlineStr">
        <is>
          <t>Long</t>
        </is>
      </c>
      <c r="E37" s="32" t="inlineStr">
        <is>
          <t>auto</t>
        </is>
      </c>
      <c r="F37" s="32" t="inlineStr">
        <is>
          <t>15 km E, final 4 km @ STEADY</t>
        </is>
      </c>
      <c r="G37" s="32" t="n"/>
    </row>
    <row r="38" ht="15" customHeight="1" s="21">
      <c r="A38" s="32" t="inlineStr">
        <is>
          <t>Half marathon</t>
        </is>
      </c>
      <c r="B38" s="32" t="n">
        <v>10</v>
      </c>
      <c r="C38" s="32" t="n">
        <v>1</v>
      </c>
      <c r="D38" s="32" t="inlineStr">
        <is>
          <t>Intervals</t>
        </is>
      </c>
      <c r="E38" s="32" t="inlineStr">
        <is>
          <t>auto</t>
        </is>
      </c>
      <c r="F38" s="32" t="inlineStr">
        <is>
          <t>5 x 1.2 km @ I, 2 min jog between</t>
        </is>
      </c>
      <c r="G38" s="32" t="n"/>
    </row>
    <row r="39" ht="15" customHeight="1" s="21">
      <c r="A39" s="32" t="inlineStr">
        <is>
          <t>Half marathon</t>
        </is>
      </c>
      <c r="B39" s="32" t="n">
        <v>10</v>
      </c>
      <c r="C39" s="32" t="n">
        <v>2</v>
      </c>
      <c r="D39" s="32" t="inlineStr">
        <is>
          <t>Recovery</t>
        </is>
      </c>
      <c r="E39" s="32" t="inlineStr">
        <is>
          <t>auto</t>
        </is>
      </c>
      <c r="F39" s="32" t="inlineStr">
        <is>
          <t>Very relaxed recovery run</t>
        </is>
      </c>
      <c r="G39" s="32" t="n"/>
    </row>
    <row r="40" ht="15" customHeight="1" s="21">
      <c r="A40" s="32" t="inlineStr">
        <is>
          <t>Half marathon</t>
        </is>
      </c>
      <c r="B40" s="32" t="n">
        <v>10</v>
      </c>
      <c r="C40" s="32" t="n">
        <v>3</v>
      </c>
      <c r="D40" s="32" t="inlineStr">
        <is>
          <t>Tempo</t>
        </is>
      </c>
      <c r="E40" s="32" t="inlineStr">
        <is>
          <t>auto</t>
        </is>
      </c>
      <c r="F40" s="32" t="inlineStr">
        <is>
          <t>25 min continuous @ T</t>
        </is>
      </c>
      <c r="G40" s="32" t="n"/>
    </row>
    <row r="41" ht="15" customHeight="1" s="21">
      <c r="A41" s="32" t="inlineStr">
        <is>
          <t>Half marathon</t>
        </is>
      </c>
      <c r="B41" s="32" t="n">
        <v>10</v>
      </c>
      <c r="C41" s="32" t="n">
        <v>4</v>
      </c>
      <c r="D41" s="32" t="inlineStr">
        <is>
          <t>Long</t>
        </is>
      </c>
      <c r="E41" s="32" t="inlineStr">
        <is>
          <t>auto</t>
        </is>
      </c>
      <c r="F41" s="32" t="inlineStr">
        <is>
          <t>14 km E, final 6 km @ HM</t>
        </is>
      </c>
      <c r="G41" s="32" t="n"/>
    </row>
    <row r="42" ht="15" customHeight="1" s="21">
      <c r="A42" s="32" t="inlineStr">
        <is>
          <t>Half marathon</t>
        </is>
      </c>
      <c r="B42" s="32" t="n">
        <v>11</v>
      </c>
      <c r="C42" s="32" t="n">
        <v>1</v>
      </c>
      <c r="D42" s="32" t="inlineStr">
        <is>
          <t>Intervals</t>
        </is>
      </c>
      <c r="E42" s="32" t="inlineStr">
        <is>
          <t>auto</t>
        </is>
      </c>
      <c r="F42" s="32" t="inlineStr">
        <is>
          <t>6 x 800 m @ 10K, 90 s jog between</t>
        </is>
      </c>
      <c r="G42" s="32" t="n"/>
    </row>
    <row r="43" ht="15" customHeight="1" s="21">
      <c r="A43" s="32" t="inlineStr">
        <is>
          <t>Half marathon</t>
        </is>
      </c>
      <c r="B43" s="32" t="n">
        <v>11</v>
      </c>
      <c r="C43" s="32" t="n">
        <v>2</v>
      </c>
      <c r="D43" s="32" t="inlineStr">
        <is>
          <t>Easy</t>
        </is>
      </c>
      <c r="E43" s="32" t="inlineStr">
        <is>
          <t>auto</t>
        </is>
      </c>
      <c r="F43" s="32" t="inlineStr">
        <is>
          <t>E continuous run</t>
        </is>
      </c>
      <c r="G43" s="32" t="n"/>
    </row>
    <row r="44" ht="15" customHeight="1" s="21">
      <c r="A44" s="32" t="inlineStr">
        <is>
          <t>Half marathon</t>
        </is>
      </c>
      <c r="B44" s="32" t="n">
        <v>11</v>
      </c>
      <c r="C44" s="32" t="n">
        <v>3</v>
      </c>
      <c r="D44" s="32" t="inlineStr">
        <is>
          <t>Tempo</t>
        </is>
      </c>
      <c r="E44" s="32" t="inlineStr">
        <is>
          <t>auto</t>
        </is>
      </c>
      <c r="F44" s="32" t="inlineStr">
        <is>
          <t>2 x 3 km @ HM, 2 min jog between</t>
        </is>
      </c>
      <c r="G44" s="32" t="n"/>
    </row>
    <row r="45" ht="15" customHeight="1" s="21">
      <c r="A45" s="32" t="inlineStr">
        <is>
          <t>Half marathon</t>
        </is>
      </c>
      <c r="B45" s="32" t="n">
        <v>11</v>
      </c>
      <c r="C45" s="32" t="n">
        <v>4</v>
      </c>
      <c r="D45" s="32" t="inlineStr">
        <is>
          <t>Long</t>
        </is>
      </c>
      <c r="E45" s="32" t="inlineStr">
        <is>
          <t>auto</t>
        </is>
      </c>
      <c r="F45" s="32" t="inlineStr">
        <is>
          <t>12 km E, final 2 km @ HM</t>
        </is>
      </c>
      <c r="G45" s="32" t="n"/>
    </row>
    <row r="46" ht="15" customHeight="1" s="21">
      <c r="A46" s="32" t="inlineStr">
        <is>
          <t>Half marathon</t>
        </is>
      </c>
      <c r="B46" s="32" t="n">
        <v>12</v>
      </c>
      <c r="C46" s="32" t="n">
        <v>1</v>
      </c>
      <c r="D46" s="32" t="inlineStr">
        <is>
          <t>Fartlek</t>
        </is>
      </c>
      <c r="E46" s="32" t="inlineStr">
        <is>
          <t>auto</t>
        </is>
      </c>
      <c r="F46" s="32" t="inlineStr">
        <is>
          <t>6 x (1 min @ 10K effort / 1 min E)</t>
        </is>
      </c>
      <c r="G46" s="32" t="n"/>
    </row>
    <row r="47" ht="15" customHeight="1" s="21">
      <c r="A47" s="32" t="inlineStr">
        <is>
          <t>Half marathon</t>
        </is>
      </c>
      <c r="B47" s="32" t="n">
        <v>12</v>
      </c>
      <c r="C47" s="32" t="n">
        <v>2</v>
      </c>
      <c r="D47" s="32" t="inlineStr">
        <is>
          <t>Easy</t>
        </is>
      </c>
      <c r="E47" s="32" t="inlineStr">
        <is>
          <t>auto</t>
        </is>
      </c>
      <c r="F47" s="32" t="inlineStr">
        <is>
          <t>E continuous run</t>
        </is>
      </c>
      <c r="G47" s="32" t="n"/>
    </row>
    <row r="48" ht="15" customHeight="1" s="21">
      <c r="A48" s="32" t="inlineStr">
        <is>
          <t>Half marathon</t>
        </is>
      </c>
      <c r="B48" s="32" t="n">
        <v>12</v>
      </c>
      <c r="C48" s="32" t="n">
        <v>3</v>
      </c>
      <c r="D48" s="32" t="inlineStr">
        <is>
          <t>Shakeout</t>
        </is>
      </c>
      <c r="E48" s="32" t="inlineStr">
        <is>
          <t>auto</t>
        </is>
      </c>
      <c r="F48" s="32" t="inlineStr">
        <is>
          <t>4 km E + 4 x 20 s strides</t>
        </is>
      </c>
      <c r="G48" s="32" t="n"/>
    </row>
    <row r="49" ht="15" customHeight="1" s="21">
      <c r="A49" s="32" t="inlineStr">
        <is>
          <t>Half marathon</t>
        </is>
      </c>
      <c r="B49" s="32" t="n">
        <v>12</v>
      </c>
      <c r="C49" s="32" t="n">
        <v>4</v>
      </c>
      <c r="D49" s="32" t="inlineStr">
        <is>
          <t>Race</t>
        </is>
      </c>
      <c r="E49" s="32" t="inlineStr">
        <is>
          <t>auto</t>
        </is>
      </c>
      <c r="F49" s="32" t="inlineStr">
        <is>
          <t>HALF MARATHON – race at goal HM pace</t>
        </is>
      </c>
      <c r="G49" s="32" t="n"/>
    </row>
    <row r="50" ht="15" customHeight="1" s="21">
      <c r="A50" s="32" t="inlineStr">
        <is>
          <t>Hyrox</t>
        </is>
      </c>
      <c r="B50" s="32" t="n">
        <v>1</v>
      </c>
      <c r="C50" s="32" t="n">
        <v>1</v>
      </c>
      <c r="D50" s="32" t="inlineStr">
        <is>
          <t>Intervals</t>
        </is>
      </c>
      <c r="E50" s="32" t="inlineStr">
        <is>
          <t>auto</t>
        </is>
      </c>
      <c r="F50" s="32" t="inlineStr">
        <is>
          <t>5 x 1 km @ T, 90 s jog between</t>
        </is>
      </c>
      <c r="G50" s="32" t="n"/>
    </row>
    <row r="51" ht="35.05" customHeight="1" s="21">
      <c r="A51" s="32" t="inlineStr">
        <is>
          <t>Hyrox</t>
        </is>
      </c>
      <c r="B51" s="32" t="n">
        <v>1</v>
      </c>
      <c r="C51" s="32" t="n">
        <v>2</v>
      </c>
      <c r="D51" s="32" t="inlineStr">
        <is>
          <t>Compromised</t>
        </is>
      </c>
      <c r="E51" s="32" t="inlineStr">
        <is>
          <t>auto</t>
        </is>
      </c>
      <c r="F51" s="32" t="inlineStr">
        <is>
          <t>4 x 1 km @ HM effort, 2 min station between</t>
        </is>
      </c>
      <c r="G51" s="32" t="inlineStr">
        <is>
          <t>Between reps: one station from your list (e.g. 20 wall balls, 250 m row, 25 m sled push), at your division's weight.</t>
        </is>
      </c>
    </row>
    <row r="52" ht="15" customHeight="1" s="21">
      <c r="A52" s="32" t="inlineStr">
        <is>
          <t>Hyrox</t>
        </is>
      </c>
      <c r="B52" s="32" t="n">
        <v>1</v>
      </c>
      <c r="C52" s="32" t="n">
        <v>3</v>
      </c>
      <c r="D52" s="32" t="inlineStr">
        <is>
          <t>Easy</t>
        </is>
      </c>
      <c r="E52" s="32" t="inlineStr">
        <is>
          <t>auto</t>
        </is>
      </c>
      <c r="F52" s="32" t="inlineStr">
        <is>
          <t>E continuous run</t>
        </is>
      </c>
      <c r="G52" s="32" t="n"/>
    </row>
    <row r="53" ht="15" customHeight="1" s="21">
      <c r="A53" s="32" t="inlineStr">
        <is>
          <t>Hyrox</t>
        </is>
      </c>
      <c r="B53" s="32" t="n">
        <v>1</v>
      </c>
      <c r="C53" s="32" t="n">
        <v>4</v>
      </c>
      <c r="D53" s="32" t="inlineStr">
        <is>
          <t>Long</t>
        </is>
      </c>
      <c r="E53" s="32" t="inlineStr">
        <is>
          <t>auto</t>
        </is>
      </c>
      <c r="F53" s="32" t="inlineStr">
        <is>
          <t>Long run, conversational throughout</t>
        </is>
      </c>
      <c r="G53" s="32" t="n"/>
    </row>
    <row r="54" ht="15" customHeight="1" s="21">
      <c r="A54" s="32" t="inlineStr">
        <is>
          <t>Hyrox</t>
        </is>
      </c>
      <c r="B54" s="32" t="n">
        <v>2</v>
      </c>
      <c r="C54" s="32" t="n">
        <v>1</v>
      </c>
      <c r="D54" s="32" t="inlineStr">
        <is>
          <t>Tempo</t>
        </is>
      </c>
      <c r="E54" s="32" t="inlineStr">
        <is>
          <t>auto</t>
        </is>
      </c>
      <c r="F54" s="32" t="inlineStr">
        <is>
          <t>3 x 8 min @ T, 2 min jog between</t>
        </is>
      </c>
      <c r="G54" s="32" t="n"/>
    </row>
    <row r="55" ht="35.05" customHeight="1" s="21">
      <c r="A55" s="32" t="inlineStr">
        <is>
          <t>Hyrox</t>
        </is>
      </c>
      <c r="B55" s="32" t="n">
        <v>2</v>
      </c>
      <c r="C55" s="32" t="n">
        <v>2</v>
      </c>
      <c r="D55" s="32" t="inlineStr">
        <is>
          <t>Compromised</t>
        </is>
      </c>
      <c r="E55" s="32" t="inlineStr">
        <is>
          <t>auto</t>
        </is>
      </c>
      <c r="F55" s="32" t="inlineStr">
        <is>
          <t>5 x 1 km @ HM effort, 2 min station between</t>
        </is>
      </c>
      <c r="G55" s="32" t="inlineStr">
        <is>
          <t>Between reps: one station from your list (e.g. 20 wall balls, 250 m row, 25 m sled push), at your division's weight.</t>
        </is>
      </c>
    </row>
    <row r="56" ht="15" customHeight="1" s="21">
      <c r="A56" s="32" t="inlineStr">
        <is>
          <t>Hyrox</t>
        </is>
      </c>
      <c r="B56" s="32" t="n">
        <v>2</v>
      </c>
      <c r="C56" s="32" t="n">
        <v>3</v>
      </c>
      <c r="D56" s="32" t="inlineStr">
        <is>
          <t>Easy</t>
        </is>
      </c>
      <c r="E56" s="32" t="inlineStr">
        <is>
          <t>auto</t>
        </is>
      </c>
      <c r="F56" s="32" t="inlineStr">
        <is>
          <t>E continuous run</t>
        </is>
      </c>
      <c r="G56" s="32" t="n"/>
    </row>
    <row r="57" ht="15" customHeight="1" s="21">
      <c r="A57" s="32" t="inlineStr">
        <is>
          <t>Hyrox</t>
        </is>
      </c>
      <c r="B57" s="32" t="n">
        <v>2</v>
      </c>
      <c r="C57" s="32" t="n">
        <v>4</v>
      </c>
      <c r="D57" s="32" t="inlineStr">
        <is>
          <t>Long</t>
        </is>
      </c>
      <c r="E57" s="32" t="inlineStr">
        <is>
          <t>auto</t>
        </is>
      </c>
      <c r="F57" s="32" t="inlineStr">
        <is>
          <t>Long run, conversational throughout</t>
        </is>
      </c>
      <c r="G57" s="32" t="n"/>
    </row>
    <row r="58" ht="15" customHeight="1" s="21">
      <c r="A58" s="32" t="inlineStr">
        <is>
          <t>Hyrox</t>
        </is>
      </c>
      <c r="B58" s="32" t="n">
        <v>3</v>
      </c>
      <c r="C58" s="32" t="n">
        <v>1</v>
      </c>
      <c r="D58" s="32" t="inlineStr">
        <is>
          <t>Intervals</t>
        </is>
      </c>
      <c r="E58" s="32" t="inlineStr">
        <is>
          <t>auto</t>
        </is>
      </c>
      <c r="F58" s="32" t="inlineStr">
        <is>
          <t>6 x 1 km @ T, 90 s jog between</t>
        </is>
      </c>
      <c r="G58" s="32" t="n"/>
    </row>
    <row r="59" ht="35.05" customHeight="1" s="21">
      <c r="A59" s="32" t="inlineStr">
        <is>
          <t>Hyrox</t>
        </is>
      </c>
      <c r="B59" s="32" t="n">
        <v>3</v>
      </c>
      <c r="C59" s="32" t="n">
        <v>2</v>
      </c>
      <c r="D59" s="32" t="inlineStr">
        <is>
          <t>Compromised</t>
        </is>
      </c>
      <c r="E59" s="32" t="inlineStr">
        <is>
          <t>auto</t>
        </is>
      </c>
      <c r="F59" s="32" t="inlineStr">
        <is>
          <t>6 x 1 km @ HM effort, 2 min station between</t>
        </is>
      </c>
      <c r="G59" s="32" t="inlineStr">
        <is>
          <t>Between reps: one station from your list (e.g. 20 wall balls, 250 m row, 25 m sled push), at your division's weight.</t>
        </is>
      </c>
    </row>
    <row r="60" ht="15" customHeight="1" s="21">
      <c r="A60" s="32" t="inlineStr">
        <is>
          <t>Hyrox</t>
        </is>
      </c>
      <c r="B60" s="32" t="n">
        <v>3</v>
      </c>
      <c r="C60" s="32" t="n">
        <v>3</v>
      </c>
      <c r="D60" s="32" t="inlineStr">
        <is>
          <t>Easy</t>
        </is>
      </c>
      <c r="E60" s="32" t="inlineStr">
        <is>
          <t>auto</t>
        </is>
      </c>
      <c r="F60" s="32" t="inlineStr">
        <is>
          <t>E continuous run</t>
        </is>
      </c>
      <c r="G60" s="32" t="n"/>
    </row>
    <row r="61" ht="15" customHeight="1" s="21">
      <c r="A61" s="32" t="inlineStr">
        <is>
          <t>Hyrox</t>
        </is>
      </c>
      <c r="B61" s="32" t="n">
        <v>3</v>
      </c>
      <c r="C61" s="32" t="n">
        <v>4</v>
      </c>
      <c r="D61" s="32" t="inlineStr">
        <is>
          <t>Long</t>
        </is>
      </c>
      <c r="E61" s="32" t="inlineStr">
        <is>
          <t>auto</t>
        </is>
      </c>
      <c r="F61" s="32" t="inlineStr">
        <is>
          <t>Long run, conversational throughout</t>
        </is>
      </c>
      <c r="G61" s="32" t="n"/>
    </row>
    <row r="62" ht="15" customHeight="1" s="21">
      <c r="A62" s="32" t="inlineStr">
        <is>
          <t>Hyrox</t>
        </is>
      </c>
      <c r="B62" s="32" t="n">
        <v>4</v>
      </c>
      <c r="C62" s="32" t="n">
        <v>1</v>
      </c>
      <c r="D62" s="32" t="inlineStr">
        <is>
          <t>Fartlek</t>
        </is>
      </c>
      <c r="E62" s="32" t="inlineStr">
        <is>
          <t>auto</t>
        </is>
      </c>
      <c r="F62" s="32" t="inlineStr">
        <is>
          <t>8 x (1 min @ I / 1 min E)</t>
        </is>
      </c>
      <c r="G62" s="32" t="n"/>
    </row>
    <row r="63" ht="35.05" customHeight="1" s="21">
      <c r="A63" s="32" t="inlineStr">
        <is>
          <t>Hyrox</t>
        </is>
      </c>
      <c r="B63" s="32" t="n">
        <v>4</v>
      </c>
      <c r="C63" s="32" t="n">
        <v>2</v>
      </c>
      <c r="D63" s="32" t="inlineStr">
        <is>
          <t>Compromised</t>
        </is>
      </c>
      <c r="E63" s="32" t="inlineStr">
        <is>
          <t>auto</t>
        </is>
      </c>
      <c r="F63" s="32" t="inlineStr">
        <is>
          <t>4 x 1 km @ HM effort, 2 min station between</t>
        </is>
      </c>
      <c r="G63" s="32" t="inlineStr">
        <is>
          <t>Between reps: one station from your list (e.g. 20 wall balls, 250 m row, 25 m sled push), at your division's weight.</t>
        </is>
      </c>
    </row>
    <row r="64" ht="15" customHeight="1" s="21">
      <c r="A64" s="32" t="inlineStr">
        <is>
          <t>Hyrox</t>
        </is>
      </c>
      <c r="B64" s="32" t="n">
        <v>4</v>
      </c>
      <c r="C64" s="32" t="n">
        <v>3</v>
      </c>
      <c r="D64" s="32" t="inlineStr">
        <is>
          <t>Long</t>
        </is>
      </c>
      <c r="E64" s="32" t="inlineStr">
        <is>
          <t>auto</t>
        </is>
      </c>
      <c r="F64" s="32" t="inlineStr">
        <is>
          <t>Long run, conversational throughout</t>
        </is>
      </c>
      <c r="G64" s="32" t="n"/>
    </row>
    <row r="65" ht="15" customHeight="1" s="21">
      <c r="A65" s="32" t="inlineStr">
        <is>
          <t>Hyrox</t>
        </is>
      </c>
      <c r="B65" s="32" t="n">
        <v>5</v>
      </c>
      <c r="C65" s="32" t="n">
        <v>1</v>
      </c>
      <c r="D65" s="32" t="inlineStr">
        <is>
          <t>Tempo</t>
        </is>
      </c>
      <c r="E65" s="32" t="inlineStr">
        <is>
          <t>auto</t>
        </is>
      </c>
      <c r="F65" s="32" t="inlineStr">
        <is>
          <t>20 min continuous @ T</t>
        </is>
      </c>
      <c r="G65" s="32" t="n"/>
    </row>
    <row r="66" ht="35.05" customHeight="1" s="21">
      <c r="A66" s="32" t="inlineStr">
        <is>
          <t>Hyrox</t>
        </is>
      </c>
      <c r="B66" s="32" t="n">
        <v>5</v>
      </c>
      <c r="C66" s="32" t="n">
        <v>2</v>
      </c>
      <c r="D66" s="32" t="inlineStr">
        <is>
          <t>Compromised</t>
        </is>
      </c>
      <c r="E66" s="32" t="inlineStr">
        <is>
          <t>auto</t>
        </is>
      </c>
      <c r="F66" s="32" t="inlineStr">
        <is>
          <t>6 x 1 km @ HM, 2 min station between</t>
        </is>
      </c>
      <c r="G66" s="32" t="inlineStr">
        <is>
          <t>Between reps: one station from your list (e.g. 20 wall balls, 250 m row, 25 m sled push), at your division's weight.</t>
        </is>
      </c>
    </row>
    <row r="67" ht="15" customHeight="1" s="21">
      <c r="A67" s="32" t="inlineStr">
        <is>
          <t>Hyrox</t>
        </is>
      </c>
      <c r="B67" s="32" t="n">
        <v>5</v>
      </c>
      <c r="C67" s="32" t="n">
        <v>3</v>
      </c>
      <c r="D67" s="32" t="inlineStr">
        <is>
          <t>Easy</t>
        </is>
      </c>
      <c r="E67" s="32" t="inlineStr">
        <is>
          <t>auto</t>
        </is>
      </c>
      <c r="F67" s="32" t="inlineStr">
        <is>
          <t>E continuous run</t>
        </is>
      </c>
      <c r="G67" s="32" t="n"/>
    </row>
    <row r="68" ht="15" customHeight="1" s="21">
      <c r="A68" s="32" t="inlineStr">
        <is>
          <t>Hyrox</t>
        </is>
      </c>
      <c r="B68" s="32" t="n">
        <v>5</v>
      </c>
      <c r="C68" s="32" t="n">
        <v>4</v>
      </c>
      <c r="D68" s="32" t="inlineStr">
        <is>
          <t>Long</t>
        </is>
      </c>
      <c r="E68" s="32" t="inlineStr">
        <is>
          <t>auto</t>
        </is>
      </c>
      <c r="F68" s="32" t="inlineStr">
        <is>
          <t>Long run, conversational throughout</t>
        </is>
      </c>
      <c r="G68" s="32" t="n"/>
    </row>
    <row r="69" ht="15" customHeight="1" s="21">
      <c r="A69" s="32" t="inlineStr">
        <is>
          <t>Hyrox</t>
        </is>
      </c>
      <c r="B69" s="32" t="n">
        <v>6</v>
      </c>
      <c r="C69" s="32" t="n">
        <v>1</v>
      </c>
      <c r="D69" s="32" t="inlineStr">
        <is>
          <t>Intervals</t>
        </is>
      </c>
      <c r="E69" s="32" t="inlineStr">
        <is>
          <t>auto</t>
        </is>
      </c>
      <c r="F69" s="32" t="inlineStr">
        <is>
          <t>5 x 1 km @ I, 2 min jog between</t>
        </is>
      </c>
      <c r="G69" s="32" t="n"/>
    </row>
    <row r="70" ht="35.05" customHeight="1" s="21">
      <c r="A70" s="32" t="inlineStr">
        <is>
          <t>Hyrox</t>
        </is>
      </c>
      <c r="B70" s="32" t="n">
        <v>6</v>
      </c>
      <c r="C70" s="32" t="n">
        <v>2</v>
      </c>
      <c r="D70" s="32" t="inlineStr">
        <is>
          <t>Compromised</t>
        </is>
      </c>
      <c r="E70" s="32" t="inlineStr">
        <is>
          <t>auto</t>
        </is>
      </c>
      <c r="F70" s="32" t="inlineStr">
        <is>
          <t>7 x 1 km @ HM, 2 min station between</t>
        </is>
      </c>
      <c r="G70" s="32" t="inlineStr">
        <is>
          <t>Between reps: one station from your list (e.g. 20 wall balls, 250 m row, 25 m sled push), at your division's weight.</t>
        </is>
      </c>
    </row>
    <row r="71" ht="15" customHeight="1" s="21">
      <c r="A71" s="32" t="inlineStr">
        <is>
          <t>Hyrox</t>
        </is>
      </c>
      <c r="B71" s="32" t="n">
        <v>6</v>
      </c>
      <c r="C71" s="32" t="n">
        <v>3</v>
      </c>
      <c r="D71" s="32" t="inlineStr">
        <is>
          <t>Easy</t>
        </is>
      </c>
      <c r="E71" s="32" t="inlineStr">
        <is>
          <t>auto</t>
        </is>
      </c>
      <c r="F71" s="32" t="inlineStr">
        <is>
          <t>E continuous run</t>
        </is>
      </c>
      <c r="G71" s="32" t="n"/>
    </row>
    <row r="72" ht="15" customHeight="1" s="21">
      <c r="A72" s="32" t="inlineStr">
        <is>
          <t>Hyrox</t>
        </is>
      </c>
      <c r="B72" s="32" t="n">
        <v>6</v>
      </c>
      <c r="C72" s="32" t="n">
        <v>4</v>
      </c>
      <c r="D72" s="32" t="inlineStr">
        <is>
          <t>Long</t>
        </is>
      </c>
      <c r="E72" s="32" t="inlineStr">
        <is>
          <t>auto</t>
        </is>
      </c>
      <c r="F72" s="32" t="inlineStr">
        <is>
          <t>Long run, conversational throughout</t>
        </is>
      </c>
      <c r="G72" s="32" t="n"/>
    </row>
    <row r="73" ht="15" customHeight="1" s="21">
      <c r="A73" s="32" t="inlineStr">
        <is>
          <t>Hyrox</t>
        </is>
      </c>
      <c r="B73" s="32" t="n">
        <v>7</v>
      </c>
      <c r="C73" s="32" t="n">
        <v>1</v>
      </c>
      <c r="D73" s="32" t="inlineStr">
        <is>
          <t>Tempo</t>
        </is>
      </c>
      <c r="E73" s="32" t="inlineStr">
        <is>
          <t>auto</t>
        </is>
      </c>
      <c r="F73" s="32" t="inlineStr">
        <is>
          <t>2 x 12 min @ T, 2 min jog between</t>
        </is>
      </c>
      <c r="G73" s="32" t="n"/>
    </row>
    <row r="74" ht="35.05" customHeight="1" s="21">
      <c r="A74" s="32" t="inlineStr">
        <is>
          <t>Hyrox</t>
        </is>
      </c>
      <c r="B74" s="32" t="n">
        <v>7</v>
      </c>
      <c r="C74" s="32" t="n">
        <v>2</v>
      </c>
      <c r="D74" s="32" t="inlineStr">
        <is>
          <t>Compromised</t>
        </is>
      </c>
      <c r="E74" s="32" t="inlineStr">
        <is>
          <t>auto</t>
        </is>
      </c>
      <c r="F74" s="32" t="inlineStr">
        <is>
          <t>8 x 1 km @ HM, 2 min station between</t>
        </is>
      </c>
      <c r="G74" s="32" t="inlineStr">
        <is>
          <t>Between reps: one station from your list (e.g. 20 wall balls, 250 m row, 25 m sled push), at your division's weight.</t>
        </is>
      </c>
    </row>
    <row r="75" ht="15" customHeight="1" s="21">
      <c r="A75" s="32" t="inlineStr">
        <is>
          <t>Hyrox</t>
        </is>
      </c>
      <c r="B75" s="32" t="n">
        <v>7</v>
      </c>
      <c r="C75" s="32" t="n">
        <v>3</v>
      </c>
      <c r="D75" s="32" t="inlineStr">
        <is>
          <t>Easy</t>
        </is>
      </c>
      <c r="E75" s="32" t="inlineStr">
        <is>
          <t>auto</t>
        </is>
      </c>
      <c r="F75" s="32" t="inlineStr">
        <is>
          <t>E continuous run</t>
        </is>
      </c>
      <c r="G75" s="32" t="n"/>
    </row>
    <row r="76" ht="15" customHeight="1" s="21">
      <c r="A76" s="32" t="inlineStr">
        <is>
          <t>Hyrox</t>
        </is>
      </c>
      <c r="B76" s="32" t="n">
        <v>7</v>
      </c>
      <c r="C76" s="32" t="n">
        <v>4</v>
      </c>
      <c r="D76" s="32" t="inlineStr">
        <is>
          <t>Long</t>
        </is>
      </c>
      <c r="E76" s="32" t="inlineStr">
        <is>
          <t>auto</t>
        </is>
      </c>
      <c r="F76" s="32" t="inlineStr">
        <is>
          <t>Long run, conversational throughout</t>
        </is>
      </c>
      <c r="G76" s="32" t="n"/>
    </row>
    <row r="77" ht="15" customHeight="1" s="21">
      <c r="A77" s="32" t="inlineStr">
        <is>
          <t>Hyrox</t>
        </is>
      </c>
      <c r="B77" s="32" t="n">
        <v>8</v>
      </c>
      <c r="C77" s="32" t="n">
        <v>1</v>
      </c>
      <c r="D77" s="32" t="inlineStr">
        <is>
          <t>Fartlek</t>
        </is>
      </c>
      <c r="E77" s="32" t="inlineStr">
        <is>
          <t>auto</t>
        </is>
      </c>
      <c r="F77" s="32" t="inlineStr">
        <is>
          <t>6 x (2 min @ T effort / 1 min E)</t>
        </is>
      </c>
      <c r="G77" s="32" t="n"/>
    </row>
    <row r="78" ht="35.05" customHeight="1" s="21">
      <c r="A78" s="32" t="inlineStr">
        <is>
          <t>Hyrox</t>
        </is>
      </c>
      <c r="B78" s="32" t="n">
        <v>8</v>
      </c>
      <c r="C78" s="32" t="n">
        <v>2</v>
      </c>
      <c r="D78" s="32" t="inlineStr">
        <is>
          <t>Compromised</t>
        </is>
      </c>
      <c r="E78" s="32" t="inlineStr">
        <is>
          <t>auto</t>
        </is>
      </c>
      <c r="F78" s="32" t="inlineStr">
        <is>
          <t>4 x 1 km @ HM, 2 min station between</t>
        </is>
      </c>
      <c r="G78" s="32" t="inlineStr">
        <is>
          <t>Between reps: one station from your list (e.g. 20 wall balls, 250 m row, 25 m sled push), at your division's weight.</t>
        </is>
      </c>
    </row>
    <row r="79" ht="15" customHeight="1" s="21">
      <c r="A79" s="32" t="inlineStr">
        <is>
          <t>Hyrox</t>
        </is>
      </c>
      <c r="B79" s="32" t="n">
        <v>8</v>
      </c>
      <c r="C79" s="32" t="n">
        <v>3</v>
      </c>
      <c r="D79" s="32" t="inlineStr">
        <is>
          <t>Long</t>
        </is>
      </c>
      <c r="E79" s="32" t="inlineStr">
        <is>
          <t>auto</t>
        </is>
      </c>
      <c r="F79" s="32" t="inlineStr">
        <is>
          <t>Long run, conversational throughout</t>
        </is>
      </c>
      <c r="G79" s="32" t="n"/>
    </row>
    <row r="80" ht="15" customHeight="1" s="21">
      <c r="A80" s="32" t="inlineStr">
        <is>
          <t>Hyrox</t>
        </is>
      </c>
      <c r="B80" s="32" t="n">
        <v>9</v>
      </c>
      <c r="C80" s="32" t="n">
        <v>1</v>
      </c>
      <c r="D80" s="32" t="inlineStr">
        <is>
          <t>Tempo</t>
        </is>
      </c>
      <c r="E80" s="32" t="inlineStr">
        <is>
          <t>auto</t>
        </is>
      </c>
      <c r="F80" s="32" t="inlineStr">
        <is>
          <t>25 min continuous @ T</t>
        </is>
      </c>
      <c r="G80" s="32" t="n"/>
    </row>
    <row r="81" ht="35.05" customHeight="1" s="21">
      <c r="A81" s="32" t="inlineStr">
        <is>
          <t>Hyrox</t>
        </is>
      </c>
      <c r="B81" s="32" t="n">
        <v>9</v>
      </c>
      <c r="C81" s="32" t="n">
        <v>2</v>
      </c>
      <c r="D81" s="32" t="inlineStr">
        <is>
          <t>Compromised</t>
        </is>
      </c>
      <c r="E81" s="32" t="inlineStr">
        <is>
          <t>auto</t>
        </is>
      </c>
      <c r="F81" s="32" t="inlineStr">
        <is>
          <t>8 x 1 km @ HM, 3 min station between</t>
        </is>
      </c>
      <c r="G81" s="32" t="inlineStr">
        <is>
          <t>Race simulation: the eight stations in race order (SkiErg, sled push, sled pull, burpee broad jumps, row, farmers carry, sandbag lunges, wall balls), one after each km.</t>
        </is>
      </c>
    </row>
    <row r="82" ht="15" customHeight="1" s="21">
      <c r="A82" s="32" t="inlineStr">
        <is>
          <t>Hyrox</t>
        </is>
      </c>
      <c r="B82" s="32" t="n">
        <v>9</v>
      </c>
      <c r="C82" s="32" t="n">
        <v>3</v>
      </c>
      <c r="D82" s="32" t="inlineStr">
        <is>
          <t>Easy</t>
        </is>
      </c>
      <c r="E82" s="32" t="inlineStr">
        <is>
          <t>auto</t>
        </is>
      </c>
      <c r="F82" s="32" t="inlineStr">
        <is>
          <t>E continuous run</t>
        </is>
      </c>
      <c r="G82" s="32" t="n"/>
    </row>
    <row r="83" ht="15" customHeight="1" s="21">
      <c r="A83" s="32" t="inlineStr">
        <is>
          <t>Hyrox</t>
        </is>
      </c>
      <c r="B83" s="32" t="n">
        <v>9</v>
      </c>
      <c r="C83" s="32" t="n">
        <v>4</v>
      </c>
      <c r="D83" s="32" t="inlineStr">
        <is>
          <t>Long</t>
        </is>
      </c>
      <c r="E83" s="32" t="inlineStr">
        <is>
          <t>auto</t>
        </is>
      </c>
      <c r="F83" s="32" t="inlineStr">
        <is>
          <t>Long run, conversational throughout</t>
        </is>
      </c>
      <c r="G83" s="32" t="n"/>
    </row>
    <row r="84" ht="15" customHeight="1" s="21">
      <c r="A84" s="32" t="inlineStr">
        <is>
          <t>Hyrox</t>
        </is>
      </c>
      <c r="B84" s="32" t="n">
        <v>10</v>
      </c>
      <c r="C84" s="32" t="n">
        <v>1</v>
      </c>
      <c r="D84" s="32" t="inlineStr">
        <is>
          <t>Intervals</t>
        </is>
      </c>
      <c r="E84" s="32" t="inlineStr">
        <is>
          <t>auto</t>
        </is>
      </c>
      <c r="F84" s="32" t="inlineStr">
        <is>
          <t>6 x 800 m @ I, 90 s jog between</t>
        </is>
      </c>
      <c r="G84" s="32" t="n"/>
    </row>
    <row r="85" ht="35.05" customHeight="1" s="21">
      <c r="A85" s="32" t="inlineStr">
        <is>
          <t>Hyrox</t>
        </is>
      </c>
      <c r="B85" s="32" t="n">
        <v>10</v>
      </c>
      <c r="C85" s="32" t="n">
        <v>2</v>
      </c>
      <c r="D85" s="32" t="inlineStr">
        <is>
          <t>Compromised</t>
        </is>
      </c>
      <c r="E85" s="32" t="inlineStr">
        <is>
          <t>auto</t>
        </is>
      </c>
      <c r="F85" s="32" t="inlineStr">
        <is>
          <t>8 x 1 km @ HM, 2 min station between</t>
        </is>
      </c>
      <c r="G85" s="32" t="inlineStr">
        <is>
          <t>Between reps: one station from your list (e.g. 20 wall balls, 250 m row, 25 m sled push), at your division's weight.</t>
        </is>
      </c>
    </row>
    <row r="86" ht="15" customHeight="1" s="21">
      <c r="A86" s="32" t="inlineStr">
        <is>
          <t>Hyrox</t>
        </is>
      </c>
      <c r="B86" s="32" t="n">
        <v>10</v>
      </c>
      <c r="C86" s="32" t="n">
        <v>3</v>
      </c>
      <c r="D86" s="32" t="inlineStr">
        <is>
          <t>Easy</t>
        </is>
      </c>
      <c r="E86" s="32" t="inlineStr">
        <is>
          <t>auto</t>
        </is>
      </c>
      <c r="F86" s="32" t="inlineStr">
        <is>
          <t>E continuous run</t>
        </is>
      </c>
      <c r="G86" s="32" t="n"/>
    </row>
    <row r="87" ht="15" customHeight="1" s="21">
      <c r="A87" s="32" t="inlineStr">
        <is>
          <t>Hyrox</t>
        </is>
      </c>
      <c r="B87" s="32" t="n">
        <v>10</v>
      </c>
      <c r="C87" s="32" t="n">
        <v>4</v>
      </c>
      <c r="D87" s="32" t="inlineStr">
        <is>
          <t>Long</t>
        </is>
      </c>
      <c r="E87" s="32" t="inlineStr">
        <is>
          <t>auto</t>
        </is>
      </c>
      <c r="F87" s="32" t="inlineStr">
        <is>
          <t>Long run, conversational throughout</t>
        </is>
      </c>
      <c r="G87" s="32" t="n"/>
    </row>
    <row r="88" ht="15" customHeight="1" s="21">
      <c r="A88" s="32" t="inlineStr">
        <is>
          <t>Hyrox</t>
        </is>
      </c>
      <c r="B88" s="32" t="n">
        <v>11</v>
      </c>
      <c r="C88" s="32" t="n">
        <v>1</v>
      </c>
      <c r="D88" s="32" t="inlineStr">
        <is>
          <t>Tempo</t>
        </is>
      </c>
      <c r="E88" s="32" t="inlineStr">
        <is>
          <t>auto</t>
        </is>
      </c>
      <c r="F88" s="32" t="inlineStr">
        <is>
          <t>3 x 5 min @ T, 2 min jog between</t>
        </is>
      </c>
      <c r="G88" s="32" t="n"/>
    </row>
    <row r="89" ht="35.05" customHeight="1" s="21">
      <c r="A89" s="32" t="inlineStr">
        <is>
          <t>Hyrox</t>
        </is>
      </c>
      <c r="B89" s="32" t="n">
        <v>11</v>
      </c>
      <c r="C89" s="32" t="n">
        <v>2</v>
      </c>
      <c r="D89" s="32" t="inlineStr">
        <is>
          <t>Compromised</t>
        </is>
      </c>
      <c r="E89" s="32" t="inlineStr">
        <is>
          <t>auto</t>
        </is>
      </c>
      <c r="F89" s="32" t="inlineStr">
        <is>
          <t>4 x 1 km @ HM, 2 min station between</t>
        </is>
      </c>
      <c r="G89" s="32" t="inlineStr">
        <is>
          <t>Between reps: one station from your list (e.g. 20 wall balls, 250 m row, 25 m sled push), at your division's weight.</t>
        </is>
      </c>
    </row>
    <row r="90" ht="15" customHeight="1" s="21">
      <c r="A90" s="32" t="inlineStr">
        <is>
          <t>Hyrox</t>
        </is>
      </c>
      <c r="B90" s="32" t="n">
        <v>11</v>
      </c>
      <c r="C90" s="32" t="n">
        <v>3</v>
      </c>
      <c r="D90" s="32" t="inlineStr">
        <is>
          <t>Easy</t>
        </is>
      </c>
      <c r="E90" s="32" t="inlineStr">
        <is>
          <t>auto</t>
        </is>
      </c>
      <c r="F90" s="32" t="inlineStr">
        <is>
          <t>E continuous run</t>
        </is>
      </c>
      <c r="G90" s="32" t="n"/>
    </row>
    <row r="91" ht="15" customHeight="1" s="21">
      <c r="A91" s="32" t="inlineStr">
        <is>
          <t>Hyrox</t>
        </is>
      </c>
      <c r="B91" s="32" t="n">
        <v>12</v>
      </c>
      <c r="C91" s="32" t="n">
        <v>1</v>
      </c>
      <c r="D91" s="32" t="inlineStr">
        <is>
          <t>Easy</t>
        </is>
      </c>
      <c r="E91" s="32" t="inlineStr">
        <is>
          <t>auto</t>
        </is>
      </c>
      <c r="F91" s="32" t="inlineStr">
        <is>
          <t>E continuous run</t>
        </is>
      </c>
      <c r="G91" s="32" t="n"/>
    </row>
    <row r="92" ht="15" customHeight="1" s="21">
      <c r="A92" s="32" t="inlineStr">
        <is>
          <t>Hyrox</t>
        </is>
      </c>
      <c r="B92" s="32" t="n">
        <v>12</v>
      </c>
      <c r="C92" s="32" t="n">
        <v>2</v>
      </c>
      <c r="D92" s="32" t="inlineStr">
        <is>
          <t>Shakeout</t>
        </is>
      </c>
      <c r="E92" s="32" t="inlineStr">
        <is>
          <t>auto</t>
        </is>
      </c>
      <c r="F92" s="32" t="inlineStr">
        <is>
          <t>4 km E + 4 x 20 s strides</t>
        </is>
      </c>
      <c r="G92" s="32" t="n"/>
    </row>
    <row r="93" ht="23.85" customHeight="1" s="21">
      <c r="A93" s="32" t="inlineStr">
        <is>
          <t>Hyrox</t>
        </is>
      </c>
      <c r="B93" s="32" t="n">
        <v>12</v>
      </c>
      <c r="C93" s="32" t="n">
        <v>3</v>
      </c>
      <c r="D93" s="32" t="inlineStr">
        <is>
          <t>Race</t>
        </is>
      </c>
      <c r="E93" s="32" t="inlineStr">
        <is>
          <t>auto</t>
        </is>
      </c>
      <c r="F93" s="32" t="n"/>
      <c r="G93" s="32" t="inlineStr">
        <is>
          <t>8 x 1 km with a station after each. Start the first km controlled; the stations decide your race.</t>
        </is>
      </c>
    </row>
    <row r="94" ht="15" customHeight="1" s="21">
      <c r="A94" s="32" t="inlineStr">
        <is>
          <t>Faster 10K</t>
        </is>
      </c>
      <c r="B94" s="32" t="n">
        <v>1</v>
      </c>
      <c r="C94" s="32" t="n">
        <v>1</v>
      </c>
      <c r="D94" s="32" t="inlineStr">
        <is>
          <t>Fartlek</t>
        </is>
      </c>
      <c r="E94" s="32" t="inlineStr">
        <is>
          <t>auto</t>
        </is>
      </c>
      <c r="F94" s="32" t="inlineStr">
        <is>
          <t>8 x (1 min @ 5K effort / 1 min easy jog)</t>
        </is>
      </c>
      <c r="G94" s="32" t="n"/>
    </row>
    <row r="95" ht="15" customHeight="1" s="21">
      <c r="A95" s="32" t="inlineStr">
        <is>
          <t>Faster 10K</t>
        </is>
      </c>
      <c r="B95" s="32" t="n">
        <v>1</v>
      </c>
      <c r="C95" s="32" t="n">
        <v>2</v>
      </c>
      <c r="D95" s="32" t="inlineStr">
        <is>
          <t>Easy</t>
        </is>
      </c>
      <c r="E95" s="32" t="inlineStr">
        <is>
          <t>auto</t>
        </is>
      </c>
      <c r="F95" s="32" t="inlineStr">
        <is>
          <t>Easy continuous run</t>
        </is>
      </c>
      <c r="G95" s="32" t="n"/>
    </row>
    <row r="96" ht="15" customHeight="1" s="21">
      <c r="A96" s="32" t="inlineStr">
        <is>
          <t>Faster 10K</t>
        </is>
      </c>
      <c r="B96" s="32" t="n">
        <v>1</v>
      </c>
      <c r="C96" s="32" t="n">
        <v>3</v>
      </c>
      <c r="D96" s="32" t="inlineStr">
        <is>
          <t>Progression</t>
        </is>
      </c>
      <c r="E96" s="32" t="inlineStr">
        <is>
          <t>auto</t>
        </is>
      </c>
      <c r="F96" s="32" t="inlineStr">
        <is>
          <t>3 km EASY → 2 km STEADY → 1 km TEMPO</t>
        </is>
      </c>
      <c r="G96" s="32" t="n"/>
    </row>
    <row r="97" ht="15" customHeight="1" s="21">
      <c r="A97" s="32" t="inlineStr">
        <is>
          <t>Faster 10K</t>
        </is>
      </c>
      <c r="B97" s="32" t="n">
        <v>1</v>
      </c>
      <c r="C97" s="32" t="n">
        <v>4</v>
      </c>
      <c r="D97" s="32" t="inlineStr">
        <is>
          <t>Long</t>
        </is>
      </c>
      <c r="E97" s="32" t="inlineStr">
        <is>
          <t>auto</t>
        </is>
      </c>
      <c r="F97" s="32" t="inlineStr">
        <is>
          <t>Long run, conversational throughout</t>
        </is>
      </c>
      <c r="G97" s="32" t="n"/>
    </row>
    <row r="98" ht="15" customHeight="1" s="21">
      <c r="A98" s="32" t="inlineStr">
        <is>
          <t>Faster 10K</t>
        </is>
      </c>
      <c r="B98" s="32" t="n">
        <v>2</v>
      </c>
      <c r="C98" s="32" t="n">
        <v>1</v>
      </c>
      <c r="D98" s="32" t="inlineStr">
        <is>
          <t>Hills</t>
        </is>
      </c>
      <c r="E98" s="32" t="inlineStr">
        <is>
          <t>auto</t>
        </is>
      </c>
      <c r="F98" s="32" t="inlineStr">
        <is>
          <t>8 x 45 s uphill @ hard effort, jog back down as recovery</t>
        </is>
      </c>
      <c r="G98" s="32" t="n"/>
    </row>
    <row r="99" ht="15" customHeight="1" s="21">
      <c r="A99" s="32" t="inlineStr">
        <is>
          <t>Faster 10K</t>
        </is>
      </c>
      <c r="B99" s="32" t="n">
        <v>2</v>
      </c>
      <c r="C99" s="32" t="n">
        <v>2</v>
      </c>
      <c r="D99" s="32" t="inlineStr">
        <is>
          <t>Recovery</t>
        </is>
      </c>
      <c r="E99" s="32" t="inlineStr">
        <is>
          <t>auto</t>
        </is>
      </c>
      <c r="F99" s="32" t="inlineStr">
        <is>
          <t>Very relaxed recovery run</t>
        </is>
      </c>
      <c r="G99" s="32" t="n"/>
    </row>
    <row r="100" ht="15" customHeight="1" s="21">
      <c r="A100" s="32" t="inlineStr">
        <is>
          <t>Faster 10K</t>
        </is>
      </c>
      <c r="B100" s="32" t="n">
        <v>2</v>
      </c>
      <c r="C100" s="32" t="n">
        <v>3</v>
      </c>
      <c r="D100" s="32" t="inlineStr">
        <is>
          <t>Tempo</t>
        </is>
      </c>
      <c r="E100" s="32" t="inlineStr">
        <is>
          <t>auto</t>
        </is>
      </c>
      <c r="F100" s="32" t="inlineStr">
        <is>
          <t>2 x 8 min @ TEMPO, 2 min jog between</t>
        </is>
      </c>
      <c r="G100" s="32" t="n"/>
    </row>
    <row r="101" ht="15" customHeight="1" s="21">
      <c r="A101" s="32" t="inlineStr">
        <is>
          <t>Faster 10K</t>
        </is>
      </c>
      <c r="B101" s="32" t="n">
        <v>2</v>
      </c>
      <c r="C101" s="32" t="n">
        <v>4</v>
      </c>
      <c r="D101" s="32" t="inlineStr">
        <is>
          <t>Long</t>
        </is>
      </c>
      <c r="E101" s="32" t="inlineStr">
        <is>
          <t>auto</t>
        </is>
      </c>
      <c r="F101" s="32" t="inlineStr">
        <is>
          <t>Long run, conversational; finish with 4 x 20 s strides</t>
        </is>
      </c>
      <c r="G101" s="32" t="n"/>
    </row>
    <row r="102" ht="15" customHeight="1" s="21">
      <c r="A102" s="32" t="inlineStr">
        <is>
          <t>Faster 10K</t>
        </is>
      </c>
      <c r="B102" s="32" t="n">
        <v>3</v>
      </c>
      <c r="C102" s="32" t="n">
        <v>1</v>
      </c>
      <c r="D102" s="32" t="inlineStr">
        <is>
          <t>Intervals</t>
        </is>
      </c>
      <c r="E102" s="32" t="inlineStr">
        <is>
          <t>auto</t>
        </is>
      </c>
      <c r="F102" s="32" t="inlineStr">
        <is>
          <t>8 x 400 m @ 5K, 75 s jog between</t>
        </is>
      </c>
      <c r="G102" s="32" t="n"/>
    </row>
    <row r="103" ht="15" customHeight="1" s="21">
      <c r="A103" s="32" t="inlineStr">
        <is>
          <t>Faster 10K</t>
        </is>
      </c>
      <c r="B103" s="32" t="n">
        <v>3</v>
      </c>
      <c r="C103" s="32" t="n">
        <v>2</v>
      </c>
      <c r="D103" s="32" t="inlineStr">
        <is>
          <t>Easy</t>
        </is>
      </c>
      <c r="E103" s="32" t="inlineStr">
        <is>
          <t>auto</t>
        </is>
      </c>
      <c r="F103" s="32" t="inlineStr">
        <is>
          <t>Easy continuous run</t>
        </is>
      </c>
      <c r="G103" s="32" t="n"/>
    </row>
    <row r="104" ht="15" customHeight="1" s="21">
      <c r="A104" s="32" t="inlineStr">
        <is>
          <t>Faster 10K</t>
        </is>
      </c>
      <c r="B104" s="32" t="n">
        <v>3</v>
      </c>
      <c r="C104" s="32" t="n">
        <v>3</v>
      </c>
      <c r="D104" s="32" t="inlineStr">
        <is>
          <t>Progression</t>
        </is>
      </c>
      <c r="E104" s="32" t="inlineStr">
        <is>
          <t>auto</t>
        </is>
      </c>
      <c r="F104" s="32" t="inlineStr">
        <is>
          <t>3 km EASY → 2 km STEADY → 2 km TEMPO</t>
        </is>
      </c>
      <c r="G104" s="32" t="n"/>
    </row>
    <row r="105" ht="15" customHeight="1" s="21">
      <c r="A105" s="32" t="inlineStr">
        <is>
          <t>Faster 10K</t>
        </is>
      </c>
      <c r="B105" s="32" t="n">
        <v>3</v>
      </c>
      <c r="C105" s="32" t="n">
        <v>4</v>
      </c>
      <c r="D105" s="32" t="inlineStr">
        <is>
          <t>Long</t>
        </is>
      </c>
      <c r="E105" s="32" t="inlineStr">
        <is>
          <t>auto</t>
        </is>
      </c>
      <c r="F105" s="32" t="inlineStr">
        <is>
          <t>Long run, conversational throughout</t>
        </is>
      </c>
      <c r="G105" s="32" t="n"/>
    </row>
    <row r="106" ht="15" customHeight="1" s="21">
      <c r="A106" s="32" t="inlineStr">
        <is>
          <t>Faster 10K</t>
        </is>
      </c>
      <c r="B106" s="32" t="n">
        <v>4</v>
      </c>
      <c r="C106" s="32" t="n">
        <v>1</v>
      </c>
      <c r="D106" s="32" t="inlineStr">
        <is>
          <t>Fartlek</t>
        </is>
      </c>
      <c r="E106" s="32" t="inlineStr">
        <is>
          <t>auto</t>
        </is>
      </c>
      <c r="F106" s="32" t="inlineStr">
        <is>
          <t>6 x (2 min @ 10K effort / 1 min easy)</t>
        </is>
      </c>
      <c r="G106" s="32" t="n"/>
    </row>
    <row r="107" ht="15" customHeight="1" s="21">
      <c r="A107" s="32" t="inlineStr">
        <is>
          <t>Faster 10K</t>
        </is>
      </c>
      <c r="B107" s="32" t="n">
        <v>4</v>
      </c>
      <c r="C107" s="32" t="n">
        <v>2</v>
      </c>
      <c r="D107" s="32" t="inlineStr">
        <is>
          <t>Recovery</t>
        </is>
      </c>
      <c r="E107" s="32" t="inlineStr">
        <is>
          <t>auto</t>
        </is>
      </c>
      <c r="F107" s="32" t="inlineStr">
        <is>
          <t>Very relaxed recovery run</t>
        </is>
      </c>
      <c r="G107" s="32" t="n"/>
    </row>
    <row r="108" ht="15" customHeight="1" s="21">
      <c r="A108" s="32" t="inlineStr">
        <is>
          <t>Faster 10K</t>
        </is>
      </c>
      <c r="B108" s="32" t="n">
        <v>4</v>
      </c>
      <c r="C108" s="32" t="n">
        <v>3</v>
      </c>
      <c r="D108" s="32" t="inlineStr">
        <is>
          <t>Tempo</t>
        </is>
      </c>
      <c r="E108" s="32" t="inlineStr">
        <is>
          <t>auto</t>
        </is>
      </c>
      <c r="F108" s="32" t="inlineStr">
        <is>
          <t>15 min continuous @ TEMPO</t>
        </is>
      </c>
      <c r="G108" s="32" t="n"/>
    </row>
    <row r="109" ht="15" customHeight="1" s="21">
      <c r="A109" s="32" t="inlineStr">
        <is>
          <t>Faster 10K</t>
        </is>
      </c>
      <c r="B109" s="32" t="n">
        <v>4</v>
      </c>
      <c r="C109" s="32" t="n">
        <v>4</v>
      </c>
      <c r="D109" s="32" t="inlineStr">
        <is>
          <t>Long</t>
        </is>
      </c>
      <c r="E109" s="32" t="inlineStr">
        <is>
          <t>auto</t>
        </is>
      </c>
      <c r="F109" s="32" t="inlineStr">
        <is>
          <t>Shorter long run, easy</t>
        </is>
      </c>
      <c r="G109" s="32" t="n"/>
    </row>
    <row r="110" ht="15" customHeight="1" s="21">
      <c r="A110" s="32" t="inlineStr">
        <is>
          <t>Faster 10K</t>
        </is>
      </c>
      <c r="B110" s="32" t="n">
        <v>5</v>
      </c>
      <c r="C110" s="32" t="n">
        <v>1</v>
      </c>
      <c r="D110" s="32" t="inlineStr">
        <is>
          <t>Intervals</t>
        </is>
      </c>
      <c r="E110" s="32" t="inlineStr">
        <is>
          <t>auto</t>
        </is>
      </c>
      <c r="F110" s="32" t="inlineStr">
        <is>
          <t>6 x 1 km @ 10K, 90 s jog between</t>
        </is>
      </c>
      <c r="G110" s="32" t="n"/>
    </row>
    <row r="111" ht="15" customHeight="1" s="21">
      <c r="A111" s="32" t="inlineStr">
        <is>
          <t>Faster 10K</t>
        </is>
      </c>
      <c r="B111" s="32" t="n">
        <v>5</v>
      </c>
      <c r="C111" s="32" t="n">
        <v>2</v>
      </c>
      <c r="D111" s="32" t="inlineStr">
        <is>
          <t>Easy</t>
        </is>
      </c>
      <c r="E111" s="32" t="inlineStr">
        <is>
          <t>auto</t>
        </is>
      </c>
      <c r="F111" s="32" t="inlineStr">
        <is>
          <t>Easy continuous run</t>
        </is>
      </c>
      <c r="G111" s="32" t="n"/>
    </row>
    <row r="112" ht="15" customHeight="1" s="21">
      <c r="A112" s="32" t="inlineStr">
        <is>
          <t>Faster 10K</t>
        </is>
      </c>
      <c r="B112" s="32" t="n">
        <v>5</v>
      </c>
      <c r="C112" s="32" t="n">
        <v>3</v>
      </c>
      <c r="D112" s="32" t="inlineStr">
        <is>
          <t>Tempo</t>
        </is>
      </c>
      <c r="E112" s="32" t="inlineStr">
        <is>
          <t>auto</t>
        </is>
      </c>
      <c r="F112" s="32" t="inlineStr">
        <is>
          <t>3 x 8 min @ TEMPO, 2 min jog between</t>
        </is>
      </c>
      <c r="G112" s="32" t="n"/>
    </row>
    <row r="113" ht="15" customHeight="1" s="21">
      <c r="A113" s="32" t="inlineStr">
        <is>
          <t>Faster 10K</t>
        </is>
      </c>
      <c r="B113" s="32" t="n">
        <v>5</v>
      </c>
      <c r="C113" s="32" t="n">
        <v>4</v>
      </c>
      <c r="D113" s="32" t="inlineStr">
        <is>
          <t>Long</t>
        </is>
      </c>
      <c r="E113" s="32" t="inlineStr">
        <is>
          <t>auto</t>
        </is>
      </c>
      <c r="F113" s="32" t="inlineStr">
        <is>
          <t>10 km EASY, final 3 km @ STEADY</t>
        </is>
      </c>
      <c r="G113" s="32" t="n"/>
    </row>
    <row r="114" ht="15" customHeight="1" s="21">
      <c r="A114" s="32" t="inlineStr">
        <is>
          <t>Faster 10K</t>
        </is>
      </c>
      <c r="B114" s="32" t="n">
        <v>6</v>
      </c>
      <c r="C114" s="32" t="n">
        <v>1</v>
      </c>
      <c r="D114" s="32" t="inlineStr">
        <is>
          <t>Hills</t>
        </is>
      </c>
      <c r="E114" s="32" t="inlineStr">
        <is>
          <t>auto</t>
        </is>
      </c>
      <c r="F114" s="32" t="inlineStr">
        <is>
          <t>10 x 60 s uphill @ hard effort, jog back down</t>
        </is>
      </c>
      <c r="G114" s="32" t="n"/>
    </row>
    <row r="115" ht="15" customHeight="1" s="21">
      <c r="A115" s="32" t="inlineStr">
        <is>
          <t>Faster 10K</t>
        </is>
      </c>
      <c r="B115" s="32" t="n">
        <v>6</v>
      </c>
      <c r="C115" s="32" t="n">
        <v>2</v>
      </c>
      <c r="D115" s="32" t="inlineStr">
        <is>
          <t>Recovery</t>
        </is>
      </c>
      <c r="E115" s="32" t="inlineStr">
        <is>
          <t>auto</t>
        </is>
      </c>
      <c r="F115" s="32" t="inlineStr">
        <is>
          <t>Very relaxed recovery run</t>
        </is>
      </c>
      <c r="G115" s="32" t="n"/>
    </row>
    <row r="116" ht="15" customHeight="1" s="21">
      <c r="A116" s="32" t="inlineStr">
        <is>
          <t>Faster 10K</t>
        </is>
      </c>
      <c r="B116" s="32" t="n">
        <v>6</v>
      </c>
      <c r="C116" s="32" t="n">
        <v>3</v>
      </c>
      <c r="D116" s="32" t="inlineStr">
        <is>
          <t>Progression</t>
        </is>
      </c>
      <c r="E116" s="32" t="inlineStr">
        <is>
          <t>auto</t>
        </is>
      </c>
      <c r="F116" s="32" t="inlineStr">
        <is>
          <t>3 km EASY → 3 km STEADY → 2 km 10K</t>
        </is>
      </c>
      <c r="G116" s="32" t="n"/>
    </row>
    <row r="117" ht="15" customHeight="1" s="21">
      <c r="A117" s="32" t="inlineStr">
        <is>
          <t>Faster 10K</t>
        </is>
      </c>
      <c r="B117" s="32" t="n">
        <v>6</v>
      </c>
      <c r="C117" s="32" t="n">
        <v>4</v>
      </c>
      <c r="D117" s="32" t="inlineStr">
        <is>
          <t>Long</t>
        </is>
      </c>
      <c r="E117" s="32" t="inlineStr">
        <is>
          <t>auto</t>
        </is>
      </c>
      <c r="F117" s="32" t="inlineStr">
        <is>
          <t>Long run, conversational throughout</t>
        </is>
      </c>
      <c r="G117" s="32" t="n"/>
    </row>
    <row r="118" ht="15" customHeight="1" s="21">
      <c r="A118" s="32" t="inlineStr">
        <is>
          <t>Faster 10K</t>
        </is>
      </c>
      <c r="B118" s="32" t="n">
        <v>7</v>
      </c>
      <c r="C118" s="32" t="n">
        <v>1</v>
      </c>
      <c r="D118" s="32" t="inlineStr">
        <is>
          <t>Fartlek</t>
        </is>
      </c>
      <c r="E118" s="32" t="inlineStr">
        <is>
          <t>auto</t>
        </is>
      </c>
      <c r="F118" s="32" t="inlineStr">
        <is>
          <t>5 x (3 min @ 10K / 1 min @ 5K / 30 s @ 3K / 90 s easy)</t>
        </is>
      </c>
      <c r="G118" s="32" t="n"/>
    </row>
    <row r="119" ht="15" customHeight="1" s="21">
      <c r="A119" s="32" t="inlineStr">
        <is>
          <t>Faster 10K</t>
        </is>
      </c>
      <c r="B119" s="32" t="n">
        <v>7</v>
      </c>
      <c r="C119" s="32" t="n">
        <v>2</v>
      </c>
      <c r="D119" s="32" t="inlineStr">
        <is>
          <t>Easy</t>
        </is>
      </c>
      <c r="E119" s="32" t="inlineStr">
        <is>
          <t>auto</t>
        </is>
      </c>
      <c r="F119" s="32" t="inlineStr">
        <is>
          <t>Easy continuous run</t>
        </is>
      </c>
      <c r="G119" s="32" t="n"/>
    </row>
    <row r="120" ht="15" customHeight="1" s="21">
      <c r="A120" s="32" t="inlineStr">
        <is>
          <t>Faster 10K</t>
        </is>
      </c>
      <c r="B120" s="32" t="n">
        <v>7</v>
      </c>
      <c r="C120" s="32" t="n">
        <v>3</v>
      </c>
      <c r="D120" s="32" t="inlineStr">
        <is>
          <t>Tempo</t>
        </is>
      </c>
      <c r="E120" s="32" t="inlineStr">
        <is>
          <t>auto</t>
        </is>
      </c>
      <c r="F120" s="32" t="inlineStr">
        <is>
          <t>2 x 12 min @ TEMPO, 3 min jog between</t>
        </is>
      </c>
      <c r="G120" s="32" t="n"/>
    </row>
    <row r="121" ht="15" customHeight="1" s="21">
      <c r="A121" s="32" t="inlineStr">
        <is>
          <t>Faster 10K</t>
        </is>
      </c>
      <c r="B121" s="32" t="n">
        <v>7</v>
      </c>
      <c r="C121" s="32" t="n">
        <v>4</v>
      </c>
      <c r="D121" s="32" t="inlineStr">
        <is>
          <t>Long</t>
        </is>
      </c>
      <c r="E121" s="32" t="inlineStr">
        <is>
          <t>auto</t>
        </is>
      </c>
      <c r="F121" s="32" t="inlineStr">
        <is>
          <t>11 km EASY, final 3 km @ TEMPO</t>
        </is>
      </c>
      <c r="G121" s="32" t="n"/>
    </row>
    <row r="122" ht="15" customHeight="1" s="21">
      <c r="A122" s="32" t="inlineStr">
        <is>
          <t>Faster 10K</t>
        </is>
      </c>
      <c r="B122" s="32" t="n">
        <v>8</v>
      </c>
      <c r="C122" s="32" t="n">
        <v>1</v>
      </c>
      <c r="D122" s="32" t="inlineStr">
        <is>
          <t>Hills</t>
        </is>
      </c>
      <c r="E122" s="32" t="inlineStr">
        <is>
          <t>auto</t>
        </is>
      </c>
      <c r="F122" s="32" t="inlineStr">
        <is>
          <t>8 x 75 s uphill @ hard effort, jog back down</t>
        </is>
      </c>
      <c r="G122" s="32" t="n"/>
    </row>
    <row r="123" ht="15" customHeight="1" s="21">
      <c r="A123" s="32" t="inlineStr">
        <is>
          <t>Faster 10K</t>
        </is>
      </c>
      <c r="B123" s="32" t="n">
        <v>8</v>
      </c>
      <c r="C123" s="32" t="n">
        <v>2</v>
      </c>
      <c r="D123" s="32" t="inlineStr">
        <is>
          <t>Recovery</t>
        </is>
      </c>
      <c r="E123" s="32" t="inlineStr">
        <is>
          <t>auto</t>
        </is>
      </c>
      <c r="F123" s="32" t="inlineStr">
        <is>
          <t>Very relaxed recovery run</t>
        </is>
      </c>
      <c r="G123" s="32" t="n"/>
    </row>
    <row r="124" ht="15" customHeight="1" s="21">
      <c r="A124" s="32" t="inlineStr">
        <is>
          <t>Faster 10K</t>
        </is>
      </c>
      <c r="B124" s="32" t="n">
        <v>8</v>
      </c>
      <c r="C124" s="32" t="n">
        <v>3</v>
      </c>
      <c r="D124" s="32" t="inlineStr">
        <is>
          <t>Progression</t>
        </is>
      </c>
      <c r="E124" s="32" t="inlineStr">
        <is>
          <t>auto</t>
        </is>
      </c>
      <c r="F124" s="32" t="inlineStr">
        <is>
          <t>3 km EASY → 2 km STEADY → 2 km TEMPO</t>
        </is>
      </c>
      <c r="G124" s="32" t="n"/>
    </row>
    <row r="125" ht="15" customHeight="1" s="21">
      <c r="A125" s="32" t="inlineStr">
        <is>
          <t>Faster 10K</t>
        </is>
      </c>
      <c r="B125" s="32" t="n">
        <v>8</v>
      </c>
      <c r="C125" s="32" t="n">
        <v>4</v>
      </c>
      <c r="D125" s="32" t="inlineStr">
        <is>
          <t>Long</t>
        </is>
      </c>
      <c r="E125" s="32" t="inlineStr">
        <is>
          <t>auto</t>
        </is>
      </c>
      <c r="F125" s="32" t="inlineStr">
        <is>
          <t>Shorter long run, easy</t>
        </is>
      </c>
      <c r="G125" s="32" t="n"/>
    </row>
    <row r="126" ht="15" customHeight="1" s="21">
      <c r="A126" s="32" t="inlineStr">
        <is>
          <t>Faster 10K</t>
        </is>
      </c>
      <c r="B126" s="32" t="n">
        <v>9</v>
      </c>
      <c r="C126" s="32" t="n">
        <v>1</v>
      </c>
      <c r="D126" s="32" t="inlineStr">
        <is>
          <t>Intervals</t>
        </is>
      </c>
      <c r="E126" s="32" t="inlineStr">
        <is>
          <t>auto</t>
        </is>
      </c>
      <c r="F126" s="32" t="inlineStr">
        <is>
          <t>5 x 1.6 km @ 10K, 2 min jog between</t>
        </is>
      </c>
      <c r="G126" s="32" t="n"/>
    </row>
    <row r="127" ht="15" customHeight="1" s="21">
      <c r="A127" s="32" t="inlineStr">
        <is>
          <t>Faster 10K</t>
        </is>
      </c>
      <c r="B127" s="32" t="n">
        <v>9</v>
      </c>
      <c r="C127" s="32" t="n">
        <v>2</v>
      </c>
      <c r="D127" s="32" t="inlineStr">
        <is>
          <t>Easy</t>
        </is>
      </c>
      <c r="E127" s="32" t="inlineStr">
        <is>
          <t>auto</t>
        </is>
      </c>
      <c r="F127" s="32" t="inlineStr">
        <is>
          <t>Easy continuous run</t>
        </is>
      </c>
      <c r="G127" s="32" t="n"/>
    </row>
    <row r="128" ht="15" customHeight="1" s="21">
      <c r="A128" s="32" t="inlineStr">
        <is>
          <t>Faster 10K</t>
        </is>
      </c>
      <c r="B128" s="32" t="n">
        <v>9</v>
      </c>
      <c r="C128" s="32" t="n">
        <v>3</v>
      </c>
      <c r="D128" s="32" t="inlineStr">
        <is>
          <t>Tempo</t>
        </is>
      </c>
      <c r="E128" s="32" t="inlineStr">
        <is>
          <t>auto</t>
        </is>
      </c>
      <c r="F128" s="32" t="inlineStr">
        <is>
          <t>25 min continuous @ TEMPO</t>
        </is>
      </c>
      <c r="G128" s="32" t="n"/>
    </row>
    <row r="129" ht="15" customHeight="1" s="21">
      <c r="A129" s="32" t="inlineStr">
        <is>
          <t>Faster 10K</t>
        </is>
      </c>
      <c r="B129" s="32" t="n">
        <v>9</v>
      </c>
      <c r="C129" s="32" t="n">
        <v>4</v>
      </c>
      <c r="D129" s="32" t="inlineStr">
        <is>
          <t>Long</t>
        </is>
      </c>
      <c r="E129" s="32" t="inlineStr">
        <is>
          <t>auto</t>
        </is>
      </c>
      <c r="F129" s="32" t="inlineStr">
        <is>
          <t>12 km EASY, final 3 km @ STEADY</t>
        </is>
      </c>
      <c r="G129" s="32" t="n"/>
    </row>
    <row r="130" ht="15" customHeight="1" s="21">
      <c r="A130" s="32" t="inlineStr">
        <is>
          <t>Faster 10K</t>
        </is>
      </c>
      <c r="B130" s="32" t="n">
        <v>10</v>
      </c>
      <c r="C130" s="32" t="n">
        <v>1</v>
      </c>
      <c r="D130" s="32" t="inlineStr">
        <is>
          <t>Intervals</t>
        </is>
      </c>
      <c r="E130" s="32" t="inlineStr">
        <is>
          <t>auto</t>
        </is>
      </c>
      <c r="F130" s="32" t="inlineStr">
        <is>
          <t>6 x 800 m @ 5K, 90 s jog between</t>
        </is>
      </c>
      <c r="G130" s="32" t="n"/>
    </row>
    <row r="131" ht="15" customHeight="1" s="21">
      <c r="A131" s="32" t="inlineStr">
        <is>
          <t>Faster 10K</t>
        </is>
      </c>
      <c r="B131" s="32" t="n">
        <v>10</v>
      </c>
      <c r="C131" s="32" t="n">
        <v>2</v>
      </c>
      <c r="D131" s="32" t="inlineStr">
        <is>
          <t>Recovery</t>
        </is>
      </c>
      <c r="E131" s="32" t="inlineStr">
        <is>
          <t>auto</t>
        </is>
      </c>
      <c r="F131" s="32" t="inlineStr">
        <is>
          <t>Very relaxed recovery run</t>
        </is>
      </c>
      <c r="G131" s="32" t="n"/>
    </row>
    <row r="132" ht="15" customHeight="1" s="21">
      <c r="A132" s="32" t="inlineStr">
        <is>
          <t>Faster 10K</t>
        </is>
      </c>
      <c r="B132" s="32" t="n">
        <v>10</v>
      </c>
      <c r="C132" s="32" t="n">
        <v>3</v>
      </c>
      <c r="D132" s="32" t="inlineStr">
        <is>
          <t>Tempo</t>
        </is>
      </c>
      <c r="E132" s="32" t="inlineStr">
        <is>
          <t>auto</t>
        </is>
      </c>
      <c r="F132" s="32" t="inlineStr">
        <is>
          <t>2 x 3 km @ 10K, 2 min jog between</t>
        </is>
      </c>
      <c r="G132" s="32" t="n"/>
    </row>
    <row r="133" ht="15" customHeight="1" s="21">
      <c r="A133" s="32" t="inlineStr">
        <is>
          <t>Faster 10K</t>
        </is>
      </c>
      <c r="B133" s="32" t="n">
        <v>10</v>
      </c>
      <c r="C133" s="32" t="n">
        <v>4</v>
      </c>
      <c r="D133" s="32" t="inlineStr">
        <is>
          <t>Long</t>
        </is>
      </c>
      <c r="E133" s="32" t="inlineStr">
        <is>
          <t>auto</t>
        </is>
      </c>
      <c r="F133" s="32" t="inlineStr">
        <is>
          <t>12 km EASY, final 4 km @ 10K</t>
        </is>
      </c>
      <c r="G133" s="32" t="n"/>
    </row>
    <row r="134" ht="15" customHeight="1" s="21">
      <c r="A134" s="32" t="inlineStr">
        <is>
          <t>Faster 10K</t>
        </is>
      </c>
      <c r="B134" s="32" t="n">
        <v>11</v>
      </c>
      <c r="C134" s="32" t="n">
        <v>1</v>
      </c>
      <c r="D134" s="32" t="inlineStr">
        <is>
          <t>Intervals</t>
        </is>
      </c>
      <c r="E134" s="32" t="inlineStr">
        <is>
          <t>auto</t>
        </is>
      </c>
      <c r="F134" s="32" t="inlineStr">
        <is>
          <t>5 x 1 km @ 10K, 90 s jog between</t>
        </is>
      </c>
      <c r="G134" s="32" t="n"/>
    </row>
    <row r="135" ht="15" customHeight="1" s="21">
      <c r="A135" s="32" t="inlineStr">
        <is>
          <t>Faster 10K</t>
        </is>
      </c>
      <c r="B135" s="32" t="n">
        <v>11</v>
      </c>
      <c r="C135" s="32" t="n">
        <v>2</v>
      </c>
      <c r="D135" s="32" t="inlineStr">
        <is>
          <t>Easy</t>
        </is>
      </c>
      <c r="E135" s="32" t="inlineStr">
        <is>
          <t>auto</t>
        </is>
      </c>
      <c r="F135" s="32" t="inlineStr">
        <is>
          <t>Easy continuous run</t>
        </is>
      </c>
      <c r="G135" s="32" t="n"/>
    </row>
    <row r="136" ht="15" customHeight="1" s="21">
      <c r="A136" s="32" t="inlineStr">
        <is>
          <t>Faster 10K</t>
        </is>
      </c>
      <c r="B136" s="32" t="n">
        <v>11</v>
      </c>
      <c r="C136" s="32" t="n">
        <v>3</v>
      </c>
      <c r="D136" s="32" t="inlineStr">
        <is>
          <t>Fartlek</t>
        </is>
      </c>
      <c r="E136" s="32" t="inlineStr">
        <is>
          <t>auto</t>
        </is>
      </c>
      <c r="F136" s="32" t="inlineStr">
        <is>
          <t>6 x (90 s @ 10K / 90 s easy)</t>
        </is>
      </c>
      <c r="G136" s="32" t="n"/>
    </row>
    <row r="137" ht="15" customHeight="1" s="21">
      <c r="A137" s="32" t="inlineStr">
        <is>
          <t>Faster 10K</t>
        </is>
      </c>
      <c r="B137" s="32" t="n">
        <v>11</v>
      </c>
      <c r="C137" s="32" t="n">
        <v>4</v>
      </c>
      <c r="D137" s="32" t="inlineStr">
        <is>
          <t>Long</t>
        </is>
      </c>
      <c r="E137" s="32" t="inlineStr">
        <is>
          <t>auto</t>
        </is>
      </c>
      <c r="F137" s="32" t="inlineStr">
        <is>
          <t>Reduced long run, easy</t>
        </is>
      </c>
      <c r="G137" s="32" t="n"/>
    </row>
    <row r="138" ht="15" customHeight="1" s="21">
      <c r="A138" s="32" t="inlineStr">
        <is>
          <t>Faster 10K</t>
        </is>
      </c>
      <c r="B138" s="32" t="n">
        <v>12</v>
      </c>
      <c r="C138" s="32" t="n">
        <v>1</v>
      </c>
      <c r="D138" s="32" t="inlineStr">
        <is>
          <t>Intervals</t>
        </is>
      </c>
      <c r="E138" s="32" t="inlineStr">
        <is>
          <t>auto</t>
        </is>
      </c>
      <c r="F138" s="32" t="inlineStr">
        <is>
          <t>4 x 800 m @ 10K, 90 s jog between</t>
        </is>
      </c>
      <c r="G138" s="32" t="n"/>
    </row>
    <row r="139" ht="15" customHeight="1" s="21">
      <c r="A139" s="32" t="inlineStr">
        <is>
          <t>Faster 10K</t>
        </is>
      </c>
      <c r="B139" s="32" t="n">
        <v>12</v>
      </c>
      <c r="C139" s="32" t="n">
        <v>2</v>
      </c>
      <c r="D139" s="32" t="inlineStr">
        <is>
          <t>Easy</t>
        </is>
      </c>
      <c r="E139" s="32" t="inlineStr">
        <is>
          <t>auto</t>
        </is>
      </c>
      <c r="F139" s="32" t="inlineStr">
        <is>
          <t>Easy continuous run</t>
        </is>
      </c>
      <c r="G139" s="32" t="n"/>
    </row>
    <row r="140" ht="15" customHeight="1" s="21">
      <c r="A140" s="32" t="inlineStr">
        <is>
          <t>Faster 10K</t>
        </is>
      </c>
      <c r="B140" s="32" t="n">
        <v>12</v>
      </c>
      <c r="C140" s="32" t="n">
        <v>3</v>
      </c>
      <c r="D140" s="32" t="inlineStr">
        <is>
          <t>Shakeout</t>
        </is>
      </c>
      <c r="E140" s="32" t="inlineStr">
        <is>
          <t>auto</t>
        </is>
      </c>
      <c r="F140" s="32" t="inlineStr">
        <is>
          <t>4 km EASY + 4 x 20 s strides</t>
        </is>
      </c>
      <c r="G140" s="32" t="n"/>
    </row>
    <row r="141" ht="15" customHeight="1" s="21">
      <c r="A141" s="32" t="inlineStr">
        <is>
          <t>Faster 10K</t>
        </is>
      </c>
      <c r="B141" s="32" t="n">
        <v>12</v>
      </c>
      <c r="C141" s="32" t="n">
        <v>4</v>
      </c>
      <c r="D141" s="32" t="inlineStr">
        <is>
          <t>Race</t>
        </is>
      </c>
      <c r="E141" s="32" t="inlineStr">
        <is>
          <t>auto</t>
        </is>
      </c>
      <c r="F141" s="32" t="inlineStr">
        <is>
          <t>10K RACE – race at goal 10K pace</t>
        </is>
      </c>
      <c r="G141" s="32" t="n"/>
    </row>
    <row r="142" ht="15" customHeight="1" s="21">
      <c r="A142" s="32" t="inlineStr">
        <is>
          <t>Marathon</t>
        </is>
      </c>
      <c r="B142" s="32" t="n">
        <v>1</v>
      </c>
      <c r="C142" s="32" t="n">
        <v>1</v>
      </c>
      <c r="D142" s="32" t="inlineStr">
        <is>
          <t>Intervals</t>
        </is>
      </c>
      <c r="E142" s="32" t="inlineStr">
        <is>
          <t>auto</t>
        </is>
      </c>
      <c r="F142" s="32" t="inlineStr">
        <is>
          <t>6 x 1 km @ T, 90 s jog between</t>
        </is>
      </c>
      <c r="G142" s="32" t="n"/>
    </row>
    <row r="143" ht="15" customHeight="1" s="21">
      <c r="A143" s="32" t="inlineStr">
        <is>
          <t>Marathon</t>
        </is>
      </c>
      <c r="B143" s="32" t="n">
        <v>1</v>
      </c>
      <c r="C143" s="32" t="n">
        <v>2</v>
      </c>
      <c r="D143" s="32" t="inlineStr">
        <is>
          <t>Easy</t>
        </is>
      </c>
      <c r="E143" s="32" t="inlineStr">
        <is>
          <t>auto</t>
        </is>
      </c>
      <c r="F143" s="32" t="inlineStr">
        <is>
          <t>E continuous run</t>
        </is>
      </c>
      <c r="G143" s="32" t="n"/>
    </row>
    <row r="144" ht="15" customHeight="1" s="21">
      <c r="A144" s="32" t="inlineStr">
        <is>
          <t>Marathon</t>
        </is>
      </c>
      <c r="B144" s="32" t="n">
        <v>1</v>
      </c>
      <c r="C144" s="32" t="n">
        <v>3</v>
      </c>
      <c r="D144" s="32" t="inlineStr">
        <is>
          <t>Progression</t>
        </is>
      </c>
      <c r="E144" s="32" t="inlineStr">
        <is>
          <t>auto</t>
        </is>
      </c>
      <c r="F144" s="32" t="inlineStr">
        <is>
          <t>5 km E → 4 km STEADY → 2 km M</t>
        </is>
      </c>
      <c r="G144" s="32" t="n"/>
    </row>
    <row r="145" ht="15" customHeight="1" s="21">
      <c r="A145" s="32" t="inlineStr">
        <is>
          <t>Marathon</t>
        </is>
      </c>
      <c r="B145" s="32" t="n">
        <v>1</v>
      </c>
      <c r="C145" s="32" t="n">
        <v>4</v>
      </c>
      <c r="D145" s="32" t="inlineStr">
        <is>
          <t>Recovery</t>
        </is>
      </c>
      <c r="E145" s="32" t="inlineStr">
        <is>
          <t>auto</t>
        </is>
      </c>
      <c r="F145" s="32" t="inlineStr">
        <is>
          <t>Very relaxed recovery run</t>
        </is>
      </c>
      <c r="G145" s="32" t="n"/>
    </row>
    <row r="146" ht="15" customHeight="1" s="21">
      <c r="A146" s="32" t="inlineStr">
        <is>
          <t>Marathon</t>
        </is>
      </c>
      <c r="B146" s="32" t="n">
        <v>1</v>
      </c>
      <c r="C146" s="32" t="n">
        <v>5</v>
      </c>
      <c r="D146" s="32" t="inlineStr">
        <is>
          <t>Long</t>
        </is>
      </c>
      <c r="E146" s="32" t="inlineStr">
        <is>
          <t>auto</t>
        </is>
      </c>
      <c r="F146" s="32" t="inlineStr">
        <is>
          <t>Long run, conversational throughout</t>
        </is>
      </c>
      <c r="G146" s="32" t="n"/>
    </row>
    <row r="147" ht="15" customHeight="1" s="21">
      <c r="A147" s="32" t="inlineStr">
        <is>
          <t>Marathon</t>
        </is>
      </c>
      <c r="B147" s="32" t="n">
        <v>2</v>
      </c>
      <c r="C147" s="32" t="n">
        <v>1</v>
      </c>
      <c r="D147" s="32" t="inlineStr">
        <is>
          <t>Intervals</t>
        </is>
      </c>
      <c r="E147" s="32" t="inlineStr">
        <is>
          <t>auto</t>
        </is>
      </c>
      <c r="F147" s="32" t="inlineStr">
        <is>
          <t>5 x 1.2 km @ T, 90 s jog between</t>
        </is>
      </c>
      <c r="G147" s="32" t="n"/>
    </row>
    <row r="148" ht="15" customHeight="1" s="21">
      <c r="A148" s="32" t="inlineStr">
        <is>
          <t>Marathon</t>
        </is>
      </c>
      <c r="B148" s="32" t="n">
        <v>2</v>
      </c>
      <c r="C148" s="32" t="n">
        <v>2</v>
      </c>
      <c r="D148" s="32" t="inlineStr">
        <is>
          <t>Easy</t>
        </is>
      </c>
      <c r="E148" s="32" t="inlineStr">
        <is>
          <t>auto</t>
        </is>
      </c>
      <c r="F148" s="32" t="inlineStr">
        <is>
          <t>E continuous run</t>
        </is>
      </c>
      <c r="G148" s="32" t="n"/>
    </row>
    <row r="149" ht="15" customHeight="1" s="21">
      <c r="A149" s="32" t="inlineStr">
        <is>
          <t>Marathon</t>
        </is>
      </c>
      <c r="B149" s="32" t="n">
        <v>2</v>
      </c>
      <c r="C149" s="32" t="n">
        <v>3</v>
      </c>
      <c r="D149" s="32" t="inlineStr">
        <is>
          <t>Tempo</t>
        </is>
      </c>
      <c r="E149" s="32" t="inlineStr">
        <is>
          <t>auto</t>
        </is>
      </c>
      <c r="F149" s="32" t="inlineStr">
        <is>
          <t>2 x 10 min @ T, 2 min jog between</t>
        </is>
      </c>
      <c r="G149" s="32" t="n"/>
    </row>
    <row r="150" ht="15" customHeight="1" s="21">
      <c r="A150" s="32" t="inlineStr">
        <is>
          <t>Marathon</t>
        </is>
      </c>
      <c r="B150" s="32" t="n">
        <v>2</v>
      </c>
      <c r="C150" s="32" t="n">
        <v>4</v>
      </c>
      <c r="D150" s="32" t="inlineStr">
        <is>
          <t>Recovery</t>
        </is>
      </c>
      <c r="E150" s="32" t="inlineStr">
        <is>
          <t>auto</t>
        </is>
      </c>
      <c r="F150" s="32" t="inlineStr">
        <is>
          <t>Very relaxed recovery run</t>
        </is>
      </c>
      <c r="G150" s="32" t="n"/>
    </row>
    <row r="151" ht="15" customHeight="1" s="21">
      <c r="A151" s="32" t="inlineStr">
        <is>
          <t>Marathon</t>
        </is>
      </c>
      <c r="B151" s="32" t="n">
        <v>2</v>
      </c>
      <c r="C151" s="32" t="n">
        <v>5</v>
      </c>
      <c r="D151" s="32" t="inlineStr">
        <is>
          <t>Long</t>
        </is>
      </c>
      <c r="E151" s="32" t="inlineStr">
        <is>
          <t>auto</t>
        </is>
      </c>
      <c r="F151" s="32" t="inlineStr">
        <is>
          <t>Long run, conversational throughout</t>
        </is>
      </c>
      <c r="G151" s="32" t="n"/>
    </row>
    <row r="152" ht="15" customHeight="1" s="21">
      <c r="A152" s="32" t="inlineStr">
        <is>
          <t>Marathon</t>
        </is>
      </c>
      <c r="B152" s="32" t="n">
        <v>3</v>
      </c>
      <c r="C152" s="32" t="n">
        <v>1</v>
      </c>
      <c r="D152" s="32" t="inlineStr">
        <is>
          <t>Intervals</t>
        </is>
      </c>
      <c r="E152" s="32" t="inlineStr">
        <is>
          <t>auto</t>
        </is>
      </c>
      <c r="F152" s="32" t="inlineStr">
        <is>
          <t>4 x 1.6 km @ T, 2 min jog between</t>
        </is>
      </c>
      <c r="G152" s="32" t="n"/>
    </row>
    <row r="153" ht="15" customHeight="1" s="21">
      <c r="A153" s="32" t="inlineStr">
        <is>
          <t>Marathon</t>
        </is>
      </c>
      <c r="B153" s="32" t="n">
        <v>3</v>
      </c>
      <c r="C153" s="32" t="n">
        <v>2</v>
      </c>
      <c r="D153" s="32" t="inlineStr">
        <is>
          <t>Easy</t>
        </is>
      </c>
      <c r="E153" s="32" t="inlineStr">
        <is>
          <t>auto</t>
        </is>
      </c>
      <c r="F153" s="32" t="inlineStr">
        <is>
          <t>E continuous run</t>
        </is>
      </c>
      <c r="G153" s="32" t="n"/>
    </row>
    <row r="154" ht="15" customHeight="1" s="21">
      <c r="A154" s="32" t="inlineStr">
        <is>
          <t>Marathon</t>
        </is>
      </c>
      <c r="B154" s="32" t="n">
        <v>3</v>
      </c>
      <c r="C154" s="32" t="n">
        <v>3</v>
      </c>
      <c r="D154" s="32" t="inlineStr">
        <is>
          <t>Tempo</t>
        </is>
      </c>
      <c r="E154" s="32" t="inlineStr">
        <is>
          <t>auto</t>
        </is>
      </c>
      <c r="F154" s="32" t="inlineStr">
        <is>
          <t>3 x 3 km @ M, 2 min jog between</t>
        </is>
      </c>
      <c r="G154" s="32" t="n"/>
    </row>
    <row r="155" ht="15" customHeight="1" s="21">
      <c r="A155" s="32" t="inlineStr">
        <is>
          <t>Marathon</t>
        </is>
      </c>
      <c r="B155" s="32" t="n">
        <v>3</v>
      </c>
      <c r="C155" s="32" t="n">
        <v>4</v>
      </c>
      <c r="D155" s="32" t="inlineStr">
        <is>
          <t>Recovery</t>
        </is>
      </c>
      <c r="E155" s="32" t="inlineStr">
        <is>
          <t>auto</t>
        </is>
      </c>
      <c r="F155" s="32" t="inlineStr">
        <is>
          <t>Very relaxed recovery run</t>
        </is>
      </c>
      <c r="G155" s="32" t="n"/>
    </row>
    <row r="156" ht="15" customHeight="1" s="21">
      <c r="A156" s="32" t="inlineStr">
        <is>
          <t>Marathon</t>
        </is>
      </c>
      <c r="B156" s="32" t="n">
        <v>3</v>
      </c>
      <c r="C156" s="32" t="n">
        <v>5</v>
      </c>
      <c r="D156" s="32" t="inlineStr">
        <is>
          <t>Long</t>
        </is>
      </c>
      <c r="E156" s="32" t="inlineStr">
        <is>
          <t>auto</t>
        </is>
      </c>
      <c r="F156" s="32" t="inlineStr">
        <is>
          <t>16 km E, final 3 km @ STEADY</t>
        </is>
      </c>
      <c r="G156" s="32" t="n"/>
    </row>
    <row r="157" ht="15" customHeight="1" s="21">
      <c r="A157" s="32" t="inlineStr">
        <is>
          <t>Marathon</t>
        </is>
      </c>
      <c r="B157" s="32" t="n">
        <v>4</v>
      </c>
      <c r="C157" s="32" t="n">
        <v>1</v>
      </c>
      <c r="D157" s="32" t="inlineStr">
        <is>
          <t>Intervals</t>
        </is>
      </c>
      <c r="E157" s="32" t="inlineStr">
        <is>
          <t>auto</t>
        </is>
      </c>
      <c r="F157" s="32" t="inlineStr">
        <is>
          <t>5 x 1 km @ T, 90 s jog between</t>
        </is>
      </c>
      <c r="G157" s="32" t="n"/>
    </row>
    <row r="158" ht="15" customHeight="1" s="21">
      <c r="A158" s="32" t="inlineStr">
        <is>
          <t>Marathon</t>
        </is>
      </c>
      <c r="B158" s="32" t="n">
        <v>4</v>
      </c>
      <c r="C158" s="32" t="n">
        <v>2</v>
      </c>
      <c r="D158" s="32" t="inlineStr">
        <is>
          <t>Easy</t>
        </is>
      </c>
      <c r="E158" s="32" t="inlineStr">
        <is>
          <t>auto</t>
        </is>
      </c>
      <c r="F158" s="32" t="inlineStr">
        <is>
          <t>E continuous run</t>
        </is>
      </c>
      <c r="G158" s="32" t="n"/>
    </row>
    <row r="159" ht="15" customHeight="1" s="21">
      <c r="A159" s="32" t="inlineStr">
        <is>
          <t>Marathon</t>
        </is>
      </c>
      <c r="B159" s="32" t="n">
        <v>4</v>
      </c>
      <c r="C159" s="32" t="n">
        <v>3</v>
      </c>
      <c r="D159" s="32" t="inlineStr">
        <is>
          <t>Progression</t>
        </is>
      </c>
      <c r="E159" s="32" t="inlineStr">
        <is>
          <t>auto</t>
        </is>
      </c>
      <c r="F159" s="32" t="inlineStr">
        <is>
          <t>4 km E → 3 km STEADY</t>
        </is>
      </c>
      <c r="G159" s="32" t="n"/>
    </row>
    <row r="160" ht="15" customHeight="1" s="21">
      <c r="A160" s="32" t="inlineStr">
        <is>
          <t>Marathon</t>
        </is>
      </c>
      <c r="B160" s="32" t="n">
        <v>4</v>
      </c>
      <c r="C160" s="32" t="n">
        <v>4</v>
      </c>
      <c r="D160" s="32" t="inlineStr">
        <is>
          <t>Recovery</t>
        </is>
      </c>
      <c r="E160" s="32" t="inlineStr">
        <is>
          <t>auto</t>
        </is>
      </c>
      <c r="F160" s="32" t="inlineStr">
        <is>
          <t>Very relaxed recovery run</t>
        </is>
      </c>
      <c r="G160" s="32" t="n"/>
    </row>
    <row r="161" ht="15" customHeight="1" s="21">
      <c r="A161" s="32" t="inlineStr">
        <is>
          <t>Marathon</t>
        </is>
      </c>
      <c r="B161" s="32" t="n">
        <v>4</v>
      </c>
      <c r="C161" s="32" t="n">
        <v>5</v>
      </c>
      <c r="D161" s="32" t="inlineStr">
        <is>
          <t>Long</t>
        </is>
      </c>
      <c r="E161" s="32" t="inlineStr">
        <is>
          <t>auto</t>
        </is>
      </c>
      <c r="F161" s="32" t="inlineStr">
        <is>
          <t>Shorter long run, E</t>
        </is>
      </c>
      <c r="G161" s="32" t="n"/>
    </row>
    <row r="162" ht="15" customHeight="1" s="21">
      <c r="A162" s="32" t="inlineStr">
        <is>
          <t>Marathon</t>
        </is>
      </c>
      <c r="B162" s="32" t="n">
        <v>5</v>
      </c>
      <c r="C162" s="32" t="n">
        <v>1</v>
      </c>
      <c r="D162" s="32" t="inlineStr">
        <is>
          <t>Intervals</t>
        </is>
      </c>
      <c r="E162" s="32" t="inlineStr">
        <is>
          <t>auto</t>
        </is>
      </c>
      <c r="F162" s="32" t="inlineStr">
        <is>
          <t>5 x 1.6 km @ T, 90 s jog between</t>
        </is>
      </c>
      <c r="G162" s="32" t="n"/>
    </row>
    <row r="163" ht="15" customHeight="1" s="21">
      <c r="A163" s="32" t="inlineStr">
        <is>
          <t>Marathon</t>
        </is>
      </c>
      <c r="B163" s="32" t="n">
        <v>5</v>
      </c>
      <c r="C163" s="32" t="n">
        <v>2</v>
      </c>
      <c r="D163" s="32" t="inlineStr">
        <is>
          <t>Easy</t>
        </is>
      </c>
      <c r="E163" s="32" t="inlineStr">
        <is>
          <t>auto</t>
        </is>
      </c>
      <c r="F163" s="32" t="inlineStr">
        <is>
          <t>E continuous run</t>
        </is>
      </c>
      <c r="G163" s="32" t="n"/>
    </row>
    <row r="164" ht="15" customHeight="1" s="21">
      <c r="A164" s="32" t="inlineStr">
        <is>
          <t>Marathon</t>
        </is>
      </c>
      <c r="B164" s="32" t="n">
        <v>5</v>
      </c>
      <c r="C164" s="32" t="n">
        <v>3</v>
      </c>
      <c r="D164" s="32" t="inlineStr">
        <is>
          <t>Tempo</t>
        </is>
      </c>
      <c r="E164" s="32" t="inlineStr">
        <is>
          <t>auto</t>
        </is>
      </c>
      <c r="F164" s="32" t="inlineStr">
        <is>
          <t>2 x 4 km @ M, 2 min jog between</t>
        </is>
      </c>
      <c r="G164" s="32" t="n"/>
    </row>
    <row r="165" ht="15" customHeight="1" s="21">
      <c r="A165" s="32" t="inlineStr">
        <is>
          <t>Marathon</t>
        </is>
      </c>
      <c r="B165" s="32" t="n">
        <v>5</v>
      </c>
      <c r="C165" s="32" t="n">
        <v>4</v>
      </c>
      <c r="D165" s="32" t="inlineStr">
        <is>
          <t>Recovery</t>
        </is>
      </c>
      <c r="E165" s="32" t="inlineStr">
        <is>
          <t>auto</t>
        </is>
      </c>
      <c r="F165" s="32" t="inlineStr">
        <is>
          <t>Very relaxed recovery run</t>
        </is>
      </c>
      <c r="G165" s="32" t="n"/>
    </row>
    <row r="166" ht="15" customHeight="1" s="21">
      <c r="A166" s="32" t="inlineStr">
        <is>
          <t>Marathon</t>
        </is>
      </c>
      <c r="B166" s="32" t="n">
        <v>5</v>
      </c>
      <c r="C166" s="32" t="n">
        <v>5</v>
      </c>
      <c r="D166" s="32" t="inlineStr">
        <is>
          <t>Long</t>
        </is>
      </c>
      <c r="E166" s="32" t="inlineStr">
        <is>
          <t>auto</t>
        </is>
      </c>
      <c r="F166" s="32" t="inlineStr">
        <is>
          <t>20 km E, final 5 km @ M</t>
        </is>
      </c>
      <c r="G166" s="32" t="n"/>
    </row>
    <row r="167" ht="15" customHeight="1" s="21">
      <c r="A167" s="32" t="inlineStr">
        <is>
          <t>Marathon</t>
        </is>
      </c>
      <c r="B167" s="32" t="n">
        <v>6</v>
      </c>
      <c r="C167" s="32" t="n">
        <v>1</v>
      </c>
      <c r="D167" s="32" t="inlineStr">
        <is>
          <t>Intervals</t>
        </is>
      </c>
      <c r="E167" s="32" t="inlineStr">
        <is>
          <t>auto</t>
        </is>
      </c>
      <c r="F167" s="32" t="inlineStr">
        <is>
          <t>3 x 3 km @ T, 2 min jog between</t>
        </is>
      </c>
      <c r="G167" s="32" t="n"/>
    </row>
    <row r="168" ht="15" customHeight="1" s="21">
      <c r="A168" s="32" t="inlineStr">
        <is>
          <t>Marathon</t>
        </is>
      </c>
      <c r="B168" s="32" t="n">
        <v>6</v>
      </c>
      <c r="C168" s="32" t="n">
        <v>2</v>
      </c>
      <c r="D168" s="32" t="inlineStr">
        <is>
          <t>Easy</t>
        </is>
      </c>
      <c r="E168" s="32" t="inlineStr">
        <is>
          <t>auto</t>
        </is>
      </c>
      <c r="F168" s="32" t="inlineStr">
        <is>
          <t>E continuous run</t>
        </is>
      </c>
      <c r="G168" s="32" t="n"/>
    </row>
    <row r="169" ht="15" customHeight="1" s="21">
      <c r="A169" s="32" t="inlineStr">
        <is>
          <t>Marathon</t>
        </is>
      </c>
      <c r="B169" s="32" t="n">
        <v>6</v>
      </c>
      <c r="C169" s="32" t="n">
        <v>3</v>
      </c>
      <c r="D169" s="32" t="inlineStr">
        <is>
          <t>Tempo</t>
        </is>
      </c>
      <c r="E169" s="32" t="inlineStr">
        <is>
          <t>auto</t>
        </is>
      </c>
      <c r="F169" s="32" t="inlineStr">
        <is>
          <t>20 min continuous @ T</t>
        </is>
      </c>
      <c r="G169" s="32" t="n"/>
    </row>
    <row r="170" ht="15" customHeight="1" s="21">
      <c r="A170" s="32" t="inlineStr">
        <is>
          <t>Marathon</t>
        </is>
      </c>
      <c r="B170" s="32" t="n">
        <v>6</v>
      </c>
      <c r="C170" s="32" t="n">
        <v>4</v>
      </c>
      <c r="D170" s="32" t="inlineStr">
        <is>
          <t>Recovery</t>
        </is>
      </c>
      <c r="E170" s="32" t="inlineStr">
        <is>
          <t>auto</t>
        </is>
      </c>
      <c r="F170" s="32" t="inlineStr">
        <is>
          <t>Very relaxed recovery run</t>
        </is>
      </c>
      <c r="G170" s="32" t="n"/>
    </row>
    <row r="171" ht="15" customHeight="1" s="21">
      <c r="A171" s="32" t="inlineStr">
        <is>
          <t>Marathon</t>
        </is>
      </c>
      <c r="B171" s="32" t="n">
        <v>6</v>
      </c>
      <c r="C171" s="32" t="n">
        <v>5</v>
      </c>
      <c r="D171" s="32" t="inlineStr">
        <is>
          <t>Long</t>
        </is>
      </c>
      <c r="E171" s="32" t="inlineStr">
        <is>
          <t>auto</t>
        </is>
      </c>
      <c r="F171" s="32" t="inlineStr">
        <is>
          <t>Long run, conversational throughout</t>
        </is>
      </c>
      <c r="G171" s="32" t="n"/>
    </row>
    <row r="172" ht="15" customHeight="1" s="21">
      <c r="A172" s="32" t="inlineStr">
        <is>
          <t>Marathon</t>
        </is>
      </c>
      <c r="B172" s="32" t="n">
        <v>7</v>
      </c>
      <c r="C172" s="32" t="n">
        <v>1</v>
      </c>
      <c r="D172" s="32" t="inlineStr">
        <is>
          <t>Intervals</t>
        </is>
      </c>
      <c r="E172" s="32" t="inlineStr">
        <is>
          <t>auto</t>
        </is>
      </c>
      <c r="F172" s="32" t="inlineStr">
        <is>
          <t>6 x 1.6 km @ T, 90 s jog between</t>
        </is>
      </c>
      <c r="G172" s="32" t="n"/>
    </row>
    <row r="173" ht="15" customHeight="1" s="21">
      <c r="A173" s="32" t="inlineStr">
        <is>
          <t>Marathon</t>
        </is>
      </c>
      <c r="B173" s="32" t="n">
        <v>7</v>
      </c>
      <c r="C173" s="32" t="n">
        <v>2</v>
      </c>
      <c r="D173" s="32" t="inlineStr">
        <is>
          <t>Easy</t>
        </is>
      </c>
      <c r="E173" s="32" t="inlineStr">
        <is>
          <t>auto</t>
        </is>
      </c>
      <c r="F173" s="32" t="inlineStr">
        <is>
          <t>E continuous run</t>
        </is>
      </c>
      <c r="G173" s="32" t="n"/>
    </row>
    <row r="174" ht="15" customHeight="1" s="21">
      <c r="A174" s="32" t="inlineStr">
        <is>
          <t>Marathon</t>
        </is>
      </c>
      <c r="B174" s="32" t="n">
        <v>7</v>
      </c>
      <c r="C174" s="32" t="n">
        <v>3</v>
      </c>
      <c r="D174" s="32" t="inlineStr">
        <is>
          <t>Tempo</t>
        </is>
      </c>
      <c r="E174" s="32" t="inlineStr">
        <is>
          <t>auto</t>
        </is>
      </c>
      <c r="F174" s="32" t="inlineStr">
        <is>
          <t>3 x 4 km @ M, 2 min jog between</t>
        </is>
      </c>
      <c r="G174" s="32" t="n"/>
    </row>
    <row r="175" ht="15" customHeight="1" s="21">
      <c r="A175" s="32" t="inlineStr">
        <is>
          <t>Marathon</t>
        </is>
      </c>
      <c r="B175" s="32" t="n">
        <v>7</v>
      </c>
      <c r="C175" s="32" t="n">
        <v>4</v>
      </c>
      <c r="D175" s="32" t="inlineStr">
        <is>
          <t>Recovery</t>
        </is>
      </c>
      <c r="E175" s="32" t="inlineStr">
        <is>
          <t>auto</t>
        </is>
      </c>
      <c r="F175" s="32" t="inlineStr">
        <is>
          <t>Very relaxed recovery run</t>
        </is>
      </c>
      <c r="G175" s="32" t="n"/>
    </row>
    <row r="176" ht="15" customHeight="1" s="21">
      <c r="A176" s="32" t="inlineStr">
        <is>
          <t>Marathon</t>
        </is>
      </c>
      <c r="B176" s="32" t="n">
        <v>7</v>
      </c>
      <c r="C176" s="32" t="n">
        <v>5</v>
      </c>
      <c r="D176" s="32" t="inlineStr">
        <is>
          <t>Long</t>
        </is>
      </c>
      <c r="E176" s="32" t="inlineStr">
        <is>
          <t>auto</t>
        </is>
      </c>
      <c r="F176" s="32" t="inlineStr">
        <is>
          <t>22 km E, final 8 km @ M</t>
        </is>
      </c>
      <c r="G176" s="32" t="n"/>
    </row>
    <row r="177" ht="15" customHeight="1" s="21">
      <c r="A177" s="32" t="inlineStr">
        <is>
          <t>Marathon</t>
        </is>
      </c>
      <c r="B177" s="32" t="n">
        <v>8</v>
      </c>
      <c r="C177" s="32" t="n">
        <v>1</v>
      </c>
      <c r="D177" s="32" t="inlineStr">
        <is>
          <t>Intervals</t>
        </is>
      </c>
      <c r="E177" s="32" t="inlineStr">
        <is>
          <t>auto</t>
        </is>
      </c>
      <c r="F177" s="32" t="inlineStr">
        <is>
          <t>4 x 1.6 km @ T, 2 min jog between</t>
        </is>
      </c>
      <c r="G177" s="32" t="n"/>
    </row>
    <row r="178" ht="15" customHeight="1" s="21">
      <c r="A178" s="32" t="inlineStr">
        <is>
          <t>Marathon</t>
        </is>
      </c>
      <c r="B178" s="32" t="n">
        <v>8</v>
      </c>
      <c r="C178" s="32" t="n">
        <v>2</v>
      </c>
      <c r="D178" s="32" t="inlineStr">
        <is>
          <t>Easy</t>
        </is>
      </c>
      <c r="E178" s="32" t="inlineStr">
        <is>
          <t>auto</t>
        </is>
      </c>
      <c r="F178" s="32" t="inlineStr">
        <is>
          <t>E continuous run</t>
        </is>
      </c>
      <c r="G178" s="32" t="n"/>
    </row>
    <row r="179" ht="15" customHeight="1" s="21">
      <c r="A179" s="32" t="inlineStr">
        <is>
          <t>Marathon</t>
        </is>
      </c>
      <c r="B179" s="32" t="n">
        <v>8</v>
      </c>
      <c r="C179" s="32" t="n">
        <v>3</v>
      </c>
      <c r="D179" s="32" t="inlineStr">
        <is>
          <t>Progression</t>
        </is>
      </c>
      <c r="E179" s="32" t="inlineStr">
        <is>
          <t>auto</t>
        </is>
      </c>
      <c r="F179" s="32" t="inlineStr">
        <is>
          <t>4 km E → 4 km STEADY → 2 km M</t>
        </is>
      </c>
      <c r="G179" s="32" t="n"/>
    </row>
    <row r="180" ht="15" customHeight="1" s="21">
      <c r="A180" s="32" t="inlineStr">
        <is>
          <t>Marathon</t>
        </is>
      </c>
      <c r="B180" s="32" t="n">
        <v>8</v>
      </c>
      <c r="C180" s="32" t="n">
        <v>4</v>
      </c>
      <c r="D180" s="32" t="inlineStr">
        <is>
          <t>Recovery</t>
        </is>
      </c>
      <c r="E180" s="32" t="inlineStr">
        <is>
          <t>auto</t>
        </is>
      </c>
      <c r="F180" s="32" t="inlineStr">
        <is>
          <t>Very relaxed recovery run</t>
        </is>
      </c>
      <c r="G180" s="32" t="n"/>
    </row>
    <row r="181" ht="15" customHeight="1" s="21">
      <c r="A181" s="32" t="inlineStr">
        <is>
          <t>Marathon</t>
        </is>
      </c>
      <c r="B181" s="32" t="n">
        <v>8</v>
      </c>
      <c r="C181" s="32" t="n">
        <v>5</v>
      </c>
      <c r="D181" s="32" t="inlineStr">
        <is>
          <t>Long</t>
        </is>
      </c>
      <c r="E181" s="32" t="inlineStr">
        <is>
          <t>auto</t>
        </is>
      </c>
      <c r="F181" s="32" t="inlineStr">
        <is>
          <t>Shorter long run, E</t>
        </is>
      </c>
      <c r="G181" s="32" t="n"/>
    </row>
    <row r="182" ht="15" customHeight="1" s="21">
      <c r="A182" s="32" t="inlineStr">
        <is>
          <t>Marathon</t>
        </is>
      </c>
      <c r="B182" s="32" t="n">
        <v>9</v>
      </c>
      <c r="C182" s="32" t="n">
        <v>1</v>
      </c>
      <c r="D182" s="32" t="inlineStr">
        <is>
          <t>Intervals</t>
        </is>
      </c>
      <c r="E182" s="32" t="inlineStr">
        <is>
          <t>auto</t>
        </is>
      </c>
      <c r="F182" s="32" t="inlineStr">
        <is>
          <t>4 x 3 km @ T, 2 min jog between</t>
        </is>
      </c>
      <c r="G182" s="32" t="n"/>
    </row>
    <row r="183" ht="15" customHeight="1" s="21">
      <c r="A183" s="32" t="inlineStr">
        <is>
          <t>Marathon</t>
        </is>
      </c>
      <c r="B183" s="32" t="n">
        <v>9</v>
      </c>
      <c r="C183" s="32" t="n">
        <v>2</v>
      </c>
      <c r="D183" s="32" t="inlineStr">
        <is>
          <t>Easy</t>
        </is>
      </c>
      <c r="E183" s="32" t="inlineStr">
        <is>
          <t>auto</t>
        </is>
      </c>
      <c r="F183" s="32" t="inlineStr">
        <is>
          <t>E continuous run</t>
        </is>
      </c>
      <c r="G183" s="32" t="n"/>
    </row>
    <row r="184" ht="15" customHeight="1" s="21">
      <c r="A184" s="32" t="inlineStr">
        <is>
          <t>Marathon</t>
        </is>
      </c>
      <c r="B184" s="32" t="n">
        <v>9</v>
      </c>
      <c r="C184" s="32" t="n">
        <v>3</v>
      </c>
      <c r="D184" s="32" t="inlineStr">
        <is>
          <t>Tempo</t>
        </is>
      </c>
      <c r="E184" s="32" t="inlineStr">
        <is>
          <t>auto</t>
        </is>
      </c>
      <c r="F184" s="32" t="inlineStr">
        <is>
          <t>50 min continuous @ M</t>
        </is>
      </c>
      <c r="G184" s="32" t="n"/>
    </row>
    <row r="185" ht="15" customHeight="1" s="21">
      <c r="A185" s="32" t="inlineStr">
        <is>
          <t>Marathon</t>
        </is>
      </c>
      <c r="B185" s="32" t="n">
        <v>9</v>
      </c>
      <c r="C185" s="32" t="n">
        <v>4</v>
      </c>
      <c r="D185" s="32" t="inlineStr">
        <is>
          <t>Recovery</t>
        </is>
      </c>
      <c r="E185" s="32" t="inlineStr">
        <is>
          <t>auto</t>
        </is>
      </c>
      <c r="F185" s="32" t="inlineStr">
        <is>
          <t>Very relaxed recovery run</t>
        </is>
      </c>
      <c r="G185" s="32" t="n"/>
    </row>
    <row r="186" ht="15" customHeight="1" s="21">
      <c r="A186" s="32" t="inlineStr">
        <is>
          <t>Marathon</t>
        </is>
      </c>
      <c r="B186" s="32" t="n">
        <v>9</v>
      </c>
      <c r="C186" s="32" t="n">
        <v>5</v>
      </c>
      <c r="D186" s="32" t="inlineStr">
        <is>
          <t>Long</t>
        </is>
      </c>
      <c r="E186" s="32" t="inlineStr">
        <is>
          <t>auto</t>
        </is>
      </c>
      <c r="F186" s="32" t="inlineStr">
        <is>
          <t>Long run, conversational throughout</t>
        </is>
      </c>
      <c r="G186" s="32" t="n"/>
    </row>
    <row r="187" ht="15" customHeight="1" s="21">
      <c r="A187" s="32" t="inlineStr">
        <is>
          <t>Marathon</t>
        </is>
      </c>
      <c r="B187" s="32" t="n">
        <v>10</v>
      </c>
      <c r="C187" s="32" t="n">
        <v>1</v>
      </c>
      <c r="D187" s="32" t="inlineStr">
        <is>
          <t>Intervals</t>
        </is>
      </c>
      <c r="E187" s="32" t="inlineStr">
        <is>
          <t>auto</t>
        </is>
      </c>
      <c r="F187" s="32" t="inlineStr">
        <is>
          <t>5 x 2 km @ T, 2 min jog between</t>
        </is>
      </c>
      <c r="G187" s="32" t="n"/>
    </row>
    <row r="188" ht="15" customHeight="1" s="21">
      <c r="A188" s="32" t="inlineStr">
        <is>
          <t>Marathon</t>
        </is>
      </c>
      <c r="B188" s="32" t="n">
        <v>10</v>
      </c>
      <c r="C188" s="32" t="n">
        <v>2</v>
      </c>
      <c r="D188" s="32" t="inlineStr">
        <is>
          <t>Easy</t>
        </is>
      </c>
      <c r="E188" s="32" t="inlineStr">
        <is>
          <t>auto</t>
        </is>
      </c>
      <c r="F188" s="32" t="inlineStr">
        <is>
          <t>E continuous run</t>
        </is>
      </c>
      <c r="G188" s="32" t="n"/>
    </row>
    <row r="189" ht="15" customHeight="1" s="21">
      <c r="A189" s="32" t="inlineStr">
        <is>
          <t>Marathon</t>
        </is>
      </c>
      <c r="B189" s="32" t="n">
        <v>10</v>
      </c>
      <c r="C189" s="32" t="n">
        <v>3</v>
      </c>
      <c r="D189" s="32" t="inlineStr">
        <is>
          <t>Tempo</t>
        </is>
      </c>
      <c r="E189" s="32" t="inlineStr">
        <is>
          <t>auto</t>
        </is>
      </c>
      <c r="F189" s="32" t="inlineStr">
        <is>
          <t>25 min continuous @ T</t>
        </is>
      </c>
      <c r="G189" s="32" t="n"/>
    </row>
    <row r="190" ht="15" customHeight="1" s="21">
      <c r="A190" s="32" t="inlineStr">
        <is>
          <t>Marathon</t>
        </is>
      </c>
      <c r="B190" s="32" t="n">
        <v>10</v>
      </c>
      <c r="C190" s="32" t="n">
        <v>4</v>
      </c>
      <c r="D190" s="32" t="inlineStr">
        <is>
          <t>Recovery</t>
        </is>
      </c>
      <c r="E190" s="32" t="inlineStr">
        <is>
          <t>auto</t>
        </is>
      </c>
      <c r="F190" s="32" t="inlineStr">
        <is>
          <t>Very relaxed recovery run</t>
        </is>
      </c>
      <c r="G190" s="32" t="n"/>
    </row>
    <row r="191" ht="15" customHeight="1" s="21">
      <c r="A191" s="32" t="inlineStr">
        <is>
          <t>Marathon</t>
        </is>
      </c>
      <c r="B191" s="32" t="n">
        <v>10</v>
      </c>
      <c r="C191" s="32" t="n">
        <v>5</v>
      </c>
      <c r="D191" s="32" t="inlineStr">
        <is>
          <t>Long</t>
        </is>
      </c>
      <c r="E191" s="32" t="inlineStr">
        <is>
          <t>auto</t>
        </is>
      </c>
      <c r="F191" s="32" t="inlineStr">
        <is>
          <t>26 km E, final 12 km @ M</t>
        </is>
      </c>
      <c r="G191" s="32" t="n"/>
    </row>
    <row r="192" ht="15" customHeight="1" s="21">
      <c r="A192" s="32" t="inlineStr">
        <is>
          <t>Marathon</t>
        </is>
      </c>
      <c r="B192" s="32" t="n">
        <v>11</v>
      </c>
      <c r="C192" s="32" t="n">
        <v>1</v>
      </c>
      <c r="D192" s="32" t="inlineStr">
        <is>
          <t>Intervals</t>
        </is>
      </c>
      <c r="E192" s="32" t="inlineStr">
        <is>
          <t>auto</t>
        </is>
      </c>
      <c r="F192" s="32" t="inlineStr">
        <is>
          <t>6 x 1.6 km @ T, 90 s jog between</t>
        </is>
      </c>
      <c r="G192" s="32" t="n"/>
    </row>
    <row r="193" ht="15" customHeight="1" s="21">
      <c r="A193" s="32" t="inlineStr">
        <is>
          <t>Marathon</t>
        </is>
      </c>
      <c r="B193" s="32" t="n">
        <v>11</v>
      </c>
      <c r="C193" s="32" t="n">
        <v>2</v>
      </c>
      <c r="D193" s="32" t="inlineStr">
        <is>
          <t>Easy</t>
        </is>
      </c>
      <c r="E193" s="32" t="inlineStr">
        <is>
          <t>auto</t>
        </is>
      </c>
      <c r="F193" s="32" t="inlineStr">
        <is>
          <t>E continuous run</t>
        </is>
      </c>
      <c r="G193" s="32" t="n"/>
    </row>
    <row r="194" ht="15" customHeight="1" s="21">
      <c r="A194" s="32" t="inlineStr">
        <is>
          <t>Marathon</t>
        </is>
      </c>
      <c r="B194" s="32" t="n">
        <v>11</v>
      </c>
      <c r="C194" s="32" t="n">
        <v>3</v>
      </c>
      <c r="D194" s="32" t="inlineStr">
        <is>
          <t>Tempo</t>
        </is>
      </c>
      <c r="E194" s="32" t="inlineStr">
        <is>
          <t>auto</t>
        </is>
      </c>
      <c r="F194" s="32" t="inlineStr">
        <is>
          <t>3 x 5 km @ M, 2 min jog between</t>
        </is>
      </c>
      <c r="G194" s="32" t="n"/>
    </row>
    <row r="195" ht="15" customHeight="1" s="21">
      <c r="A195" s="32" t="inlineStr">
        <is>
          <t>Marathon</t>
        </is>
      </c>
      <c r="B195" s="32" t="n">
        <v>11</v>
      </c>
      <c r="C195" s="32" t="n">
        <v>4</v>
      </c>
      <c r="D195" s="32" t="inlineStr">
        <is>
          <t>Recovery</t>
        </is>
      </c>
      <c r="E195" s="32" t="inlineStr">
        <is>
          <t>auto</t>
        </is>
      </c>
      <c r="F195" s="32" t="inlineStr">
        <is>
          <t>Very relaxed recovery run</t>
        </is>
      </c>
      <c r="G195" s="32" t="n"/>
    </row>
    <row r="196" ht="15" customHeight="1" s="21">
      <c r="A196" s="32" t="inlineStr">
        <is>
          <t>Marathon</t>
        </is>
      </c>
      <c r="B196" s="32" t="n">
        <v>11</v>
      </c>
      <c r="C196" s="32" t="n">
        <v>5</v>
      </c>
      <c r="D196" s="32" t="inlineStr">
        <is>
          <t>Long</t>
        </is>
      </c>
      <c r="E196" s="32" t="inlineStr">
        <is>
          <t>auto</t>
        </is>
      </c>
      <c r="F196" s="32" t="inlineStr">
        <is>
          <t>30 km E, final 5 km @ STEADY</t>
        </is>
      </c>
      <c r="G196" s="32" t="n"/>
    </row>
    <row r="197" ht="15" customHeight="1" s="21">
      <c r="A197" s="32" t="inlineStr">
        <is>
          <t>Marathon</t>
        </is>
      </c>
      <c r="B197" s="32" t="n">
        <v>12</v>
      </c>
      <c r="C197" s="32" t="n">
        <v>1</v>
      </c>
      <c r="D197" s="32" t="inlineStr">
        <is>
          <t>Intervals</t>
        </is>
      </c>
      <c r="E197" s="32" t="inlineStr">
        <is>
          <t>auto</t>
        </is>
      </c>
      <c r="F197" s="32" t="inlineStr">
        <is>
          <t>5 x 1 km @ T, 90 s jog between</t>
        </is>
      </c>
      <c r="G197" s="32" t="n"/>
    </row>
    <row r="198" ht="15" customHeight="1" s="21">
      <c r="A198" s="32" t="inlineStr">
        <is>
          <t>Marathon</t>
        </is>
      </c>
      <c r="B198" s="32" t="n">
        <v>12</v>
      </c>
      <c r="C198" s="32" t="n">
        <v>2</v>
      </c>
      <c r="D198" s="32" t="inlineStr">
        <is>
          <t>Easy</t>
        </is>
      </c>
      <c r="E198" s="32" t="inlineStr">
        <is>
          <t>auto</t>
        </is>
      </c>
      <c r="F198" s="32" t="inlineStr">
        <is>
          <t>E continuous run</t>
        </is>
      </c>
      <c r="G198" s="32" t="n"/>
    </row>
    <row r="199" ht="15" customHeight="1" s="21">
      <c r="A199" s="32" t="inlineStr">
        <is>
          <t>Marathon</t>
        </is>
      </c>
      <c r="B199" s="32" t="n">
        <v>12</v>
      </c>
      <c r="C199" s="32" t="n">
        <v>3</v>
      </c>
      <c r="D199" s="32" t="inlineStr">
        <is>
          <t>Progression</t>
        </is>
      </c>
      <c r="E199" s="32" t="inlineStr">
        <is>
          <t>auto</t>
        </is>
      </c>
      <c r="F199" s="32" t="inlineStr">
        <is>
          <t>5 km E → 5 km M</t>
        </is>
      </c>
      <c r="G199" s="32" t="n"/>
    </row>
    <row r="200" ht="15" customHeight="1" s="21">
      <c r="A200" s="32" t="inlineStr">
        <is>
          <t>Marathon</t>
        </is>
      </c>
      <c r="B200" s="32" t="n">
        <v>12</v>
      </c>
      <c r="C200" s="32" t="n">
        <v>4</v>
      </c>
      <c r="D200" s="32" t="inlineStr">
        <is>
          <t>Recovery</t>
        </is>
      </c>
      <c r="E200" s="32" t="inlineStr">
        <is>
          <t>auto</t>
        </is>
      </c>
      <c r="F200" s="32" t="inlineStr">
        <is>
          <t>Very relaxed recovery run</t>
        </is>
      </c>
      <c r="G200" s="32" t="n"/>
    </row>
    <row r="201" ht="15" customHeight="1" s="21">
      <c r="A201" s="32" t="inlineStr">
        <is>
          <t>Marathon</t>
        </is>
      </c>
      <c r="B201" s="32" t="n">
        <v>12</v>
      </c>
      <c r="C201" s="32" t="n">
        <v>5</v>
      </c>
      <c r="D201" s="32" t="inlineStr">
        <is>
          <t>Long</t>
        </is>
      </c>
      <c r="E201" s="32" t="inlineStr">
        <is>
          <t>auto</t>
        </is>
      </c>
      <c r="F201" s="32" t="inlineStr">
        <is>
          <t>Shorter long run, E</t>
        </is>
      </c>
      <c r="G201" s="32" t="n"/>
    </row>
    <row r="202" ht="15" customHeight="1" s="21">
      <c r="A202" s="32" t="inlineStr">
        <is>
          <t>Marathon</t>
        </is>
      </c>
      <c r="B202" s="32" t="n">
        <v>13</v>
      </c>
      <c r="C202" s="32" t="n">
        <v>1</v>
      </c>
      <c r="D202" s="32" t="inlineStr">
        <is>
          <t>Intervals</t>
        </is>
      </c>
      <c r="E202" s="32" t="inlineStr">
        <is>
          <t>auto</t>
        </is>
      </c>
      <c r="F202" s="32" t="inlineStr">
        <is>
          <t>4 x 3 km @ T, 2 min jog between</t>
        </is>
      </c>
      <c r="G202" s="32" t="n"/>
    </row>
    <row r="203" ht="15" customHeight="1" s="21">
      <c r="A203" s="32" t="inlineStr">
        <is>
          <t>Marathon</t>
        </is>
      </c>
      <c r="B203" s="32" t="n">
        <v>13</v>
      </c>
      <c r="C203" s="32" t="n">
        <v>2</v>
      </c>
      <c r="D203" s="32" t="inlineStr">
        <is>
          <t>Easy</t>
        </is>
      </c>
      <c r="E203" s="32" t="inlineStr">
        <is>
          <t>auto</t>
        </is>
      </c>
      <c r="F203" s="32" t="inlineStr">
        <is>
          <t>E continuous run</t>
        </is>
      </c>
      <c r="G203" s="32" t="n"/>
    </row>
    <row r="204" ht="15" customHeight="1" s="21">
      <c r="A204" s="32" t="inlineStr">
        <is>
          <t>Marathon</t>
        </is>
      </c>
      <c r="B204" s="32" t="n">
        <v>13</v>
      </c>
      <c r="C204" s="32" t="n">
        <v>3</v>
      </c>
      <c r="D204" s="32" t="inlineStr">
        <is>
          <t>Tempo</t>
        </is>
      </c>
      <c r="E204" s="32" t="inlineStr">
        <is>
          <t>auto</t>
        </is>
      </c>
      <c r="F204" s="32" t="inlineStr">
        <is>
          <t>60 min continuous @ M</t>
        </is>
      </c>
      <c r="G204" s="32" t="n"/>
    </row>
    <row r="205" ht="15" customHeight="1" s="21">
      <c r="A205" s="32" t="inlineStr">
        <is>
          <t>Marathon</t>
        </is>
      </c>
      <c r="B205" s="32" t="n">
        <v>13</v>
      </c>
      <c r="C205" s="32" t="n">
        <v>4</v>
      </c>
      <c r="D205" s="32" t="inlineStr">
        <is>
          <t>Recovery</t>
        </is>
      </c>
      <c r="E205" s="32" t="inlineStr">
        <is>
          <t>auto</t>
        </is>
      </c>
      <c r="F205" s="32" t="inlineStr">
        <is>
          <t>Very relaxed recovery run</t>
        </is>
      </c>
      <c r="G205" s="32" t="n"/>
    </row>
    <row r="206" ht="15" customHeight="1" s="21">
      <c r="A206" s="32" t="inlineStr">
        <is>
          <t>Marathon</t>
        </is>
      </c>
      <c r="B206" s="32" t="n">
        <v>13</v>
      </c>
      <c r="C206" s="32" t="n">
        <v>5</v>
      </c>
      <c r="D206" s="32" t="inlineStr">
        <is>
          <t>Long</t>
        </is>
      </c>
      <c r="E206" s="32" t="inlineStr">
        <is>
          <t>auto</t>
        </is>
      </c>
      <c r="F206" s="32" t="inlineStr">
        <is>
          <t>Longest run, conversational throughout</t>
        </is>
      </c>
      <c r="G206" s="32" t="n"/>
    </row>
    <row r="207" ht="15" customHeight="1" s="21">
      <c r="A207" s="32" t="inlineStr">
        <is>
          <t>Marathon</t>
        </is>
      </c>
      <c r="B207" s="32" t="n">
        <v>14</v>
      </c>
      <c r="C207" s="32" t="n">
        <v>1</v>
      </c>
      <c r="D207" s="32" t="inlineStr">
        <is>
          <t>Intervals</t>
        </is>
      </c>
      <c r="E207" s="32" t="inlineStr">
        <is>
          <t>auto</t>
        </is>
      </c>
      <c r="F207" s="32" t="inlineStr">
        <is>
          <t>5 x 2 km @ T, 2 min jog between</t>
        </is>
      </c>
      <c r="G207" s="32" t="n"/>
    </row>
    <row r="208" ht="15" customHeight="1" s="21">
      <c r="A208" s="32" t="inlineStr">
        <is>
          <t>Marathon</t>
        </is>
      </c>
      <c r="B208" s="32" t="n">
        <v>14</v>
      </c>
      <c r="C208" s="32" t="n">
        <v>2</v>
      </c>
      <c r="D208" s="32" t="inlineStr">
        <is>
          <t>Easy</t>
        </is>
      </c>
      <c r="E208" s="32" t="inlineStr">
        <is>
          <t>auto</t>
        </is>
      </c>
      <c r="F208" s="32" t="inlineStr">
        <is>
          <t>E continuous run</t>
        </is>
      </c>
      <c r="G208" s="32" t="n"/>
    </row>
    <row r="209" ht="15" customHeight="1" s="21">
      <c r="A209" s="32" t="inlineStr">
        <is>
          <t>Marathon</t>
        </is>
      </c>
      <c r="B209" s="32" t="n">
        <v>14</v>
      </c>
      <c r="C209" s="32" t="n">
        <v>3</v>
      </c>
      <c r="D209" s="32" t="inlineStr">
        <is>
          <t>Tempo</t>
        </is>
      </c>
      <c r="E209" s="32" t="inlineStr">
        <is>
          <t>auto</t>
        </is>
      </c>
      <c r="F209" s="32" t="inlineStr">
        <is>
          <t>2 x 6 km @ M, 2 min jog between</t>
        </is>
      </c>
      <c r="G209" s="32" t="n"/>
    </row>
    <row r="210" ht="15" customHeight="1" s="21">
      <c r="A210" s="32" t="inlineStr">
        <is>
          <t>Marathon</t>
        </is>
      </c>
      <c r="B210" s="32" t="n">
        <v>14</v>
      </c>
      <c r="C210" s="32" t="n">
        <v>4</v>
      </c>
      <c r="D210" s="32" t="inlineStr">
        <is>
          <t>Recovery</t>
        </is>
      </c>
      <c r="E210" s="32" t="inlineStr">
        <is>
          <t>auto</t>
        </is>
      </c>
      <c r="F210" s="32" t="inlineStr">
        <is>
          <t>Very relaxed recovery run</t>
        </is>
      </c>
      <c r="G210" s="32" t="n"/>
    </row>
    <row r="211" ht="15" customHeight="1" s="21">
      <c r="A211" s="32" t="inlineStr">
        <is>
          <t>Marathon</t>
        </is>
      </c>
      <c r="B211" s="32" t="n">
        <v>14</v>
      </c>
      <c r="C211" s="32" t="n">
        <v>5</v>
      </c>
      <c r="D211" s="32" t="inlineStr">
        <is>
          <t>Long</t>
        </is>
      </c>
      <c r="E211" s="32" t="inlineStr">
        <is>
          <t>auto</t>
        </is>
      </c>
      <c r="F211" s="32" t="inlineStr">
        <is>
          <t>24 km E, final 12 km @ M</t>
        </is>
      </c>
      <c r="G211" s="32" t="n"/>
    </row>
    <row r="212" ht="15" customHeight="1" s="21">
      <c r="A212" s="32" t="inlineStr">
        <is>
          <t>Marathon</t>
        </is>
      </c>
      <c r="B212" s="32" t="n">
        <v>15</v>
      </c>
      <c r="C212" s="32" t="n">
        <v>1</v>
      </c>
      <c r="D212" s="32" t="inlineStr">
        <is>
          <t>Intervals</t>
        </is>
      </c>
      <c r="E212" s="32" t="inlineStr">
        <is>
          <t>auto</t>
        </is>
      </c>
      <c r="F212" s="32" t="inlineStr">
        <is>
          <t>4 x 1.6 km @ T, 2 min jog between</t>
        </is>
      </c>
      <c r="G212" s="32" t="n"/>
    </row>
    <row r="213" ht="15" customHeight="1" s="21">
      <c r="A213" s="32" t="inlineStr">
        <is>
          <t>Marathon</t>
        </is>
      </c>
      <c r="B213" s="32" t="n">
        <v>15</v>
      </c>
      <c r="C213" s="32" t="n">
        <v>2</v>
      </c>
      <c r="D213" s="32" t="inlineStr">
        <is>
          <t>Easy</t>
        </is>
      </c>
      <c r="E213" s="32" t="inlineStr">
        <is>
          <t>auto</t>
        </is>
      </c>
      <c r="F213" s="32" t="inlineStr">
        <is>
          <t>E continuous run</t>
        </is>
      </c>
      <c r="G213" s="32" t="n"/>
    </row>
    <row r="214" ht="15" customHeight="1" s="21">
      <c r="A214" s="32" t="inlineStr">
        <is>
          <t>Marathon</t>
        </is>
      </c>
      <c r="B214" s="32" t="n">
        <v>15</v>
      </c>
      <c r="C214" s="32" t="n">
        <v>3</v>
      </c>
      <c r="D214" s="32" t="inlineStr">
        <is>
          <t>Tempo</t>
        </is>
      </c>
      <c r="E214" s="32" t="inlineStr">
        <is>
          <t>auto</t>
        </is>
      </c>
      <c r="F214" s="32" t="inlineStr">
        <is>
          <t>2 x 4 km @ M, 2 min jog between</t>
        </is>
      </c>
      <c r="G214" s="32" t="n"/>
    </row>
    <row r="215" ht="15" customHeight="1" s="21">
      <c r="A215" s="32" t="inlineStr">
        <is>
          <t>Marathon</t>
        </is>
      </c>
      <c r="B215" s="32" t="n">
        <v>15</v>
      </c>
      <c r="C215" s="32" t="n">
        <v>4</v>
      </c>
      <c r="D215" s="32" t="inlineStr">
        <is>
          <t>Recovery</t>
        </is>
      </c>
      <c r="E215" s="32" t="inlineStr">
        <is>
          <t>auto</t>
        </is>
      </c>
      <c r="F215" s="32" t="inlineStr">
        <is>
          <t>Very relaxed recovery run</t>
        </is>
      </c>
      <c r="G215" s="32" t="n"/>
    </row>
    <row r="216" ht="15" customHeight="1" s="21">
      <c r="A216" s="32" t="inlineStr">
        <is>
          <t>Marathon</t>
        </is>
      </c>
      <c r="B216" s="32" t="n">
        <v>15</v>
      </c>
      <c r="C216" s="32" t="n">
        <v>5</v>
      </c>
      <c r="D216" s="32" t="inlineStr">
        <is>
          <t>Long</t>
        </is>
      </c>
      <c r="E216" s="32" t="inlineStr">
        <is>
          <t>auto</t>
        </is>
      </c>
      <c r="F216" s="32" t="inlineStr">
        <is>
          <t>18 km E, final 4 km @ M</t>
        </is>
      </c>
      <c r="G216" s="32" t="n"/>
    </row>
    <row r="217" ht="15" customHeight="1" s="21">
      <c r="A217" s="32" t="inlineStr">
        <is>
          <t>Marathon</t>
        </is>
      </c>
      <c r="B217" s="32" t="n">
        <v>16</v>
      </c>
      <c r="C217" s="32" t="n">
        <v>1</v>
      </c>
      <c r="D217" s="32" t="inlineStr">
        <is>
          <t>Fartlek</t>
        </is>
      </c>
      <c r="E217" s="32" t="inlineStr">
        <is>
          <t>auto</t>
        </is>
      </c>
      <c r="F217" s="32" t="inlineStr">
        <is>
          <t>6 x (1 min @ HM effort / 1 min E)</t>
        </is>
      </c>
      <c r="G217" s="32" t="n"/>
    </row>
    <row r="218" ht="15" customHeight="1" s="21">
      <c r="A218" s="32" t="inlineStr">
        <is>
          <t>Marathon</t>
        </is>
      </c>
      <c r="B218" s="32" t="n">
        <v>16</v>
      </c>
      <c r="C218" s="32" t="n">
        <v>2</v>
      </c>
      <c r="D218" s="32" t="inlineStr">
        <is>
          <t>Easy</t>
        </is>
      </c>
      <c r="E218" s="32" t="inlineStr">
        <is>
          <t>auto</t>
        </is>
      </c>
      <c r="F218" s="32" t="inlineStr">
        <is>
          <t>E continuous run</t>
        </is>
      </c>
      <c r="G218" s="32" t="n"/>
    </row>
    <row r="219" ht="15" customHeight="1" s="21">
      <c r="A219" s="32" t="inlineStr">
        <is>
          <t>Marathon</t>
        </is>
      </c>
      <c r="B219" s="32" t="n">
        <v>16</v>
      </c>
      <c r="C219" s="32" t="n">
        <v>3</v>
      </c>
      <c r="D219" s="32" t="inlineStr">
        <is>
          <t>Shakeout</t>
        </is>
      </c>
      <c r="E219" s="32" t="inlineStr">
        <is>
          <t>auto</t>
        </is>
      </c>
      <c r="F219" s="32" t="inlineStr">
        <is>
          <t>4 km E + 4 x 20 s strides</t>
        </is>
      </c>
      <c r="G219" s="32" t="n"/>
    </row>
    <row r="220" ht="15" customHeight="1" s="21">
      <c r="A220" s="32" t="inlineStr">
        <is>
          <t>Marathon</t>
        </is>
      </c>
      <c r="B220" s="32" t="n">
        <v>16</v>
      </c>
      <c r="C220" s="32" t="n">
        <v>4</v>
      </c>
      <c r="D220" s="32" t="inlineStr">
        <is>
          <t>Race</t>
        </is>
      </c>
      <c r="E220" s="32" t="inlineStr">
        <is>
          <t>auto</t>
        </is>
      </c>
      <c r="F220" s="32" t="inlineStr">
        <is>
          <t>MARATHON – race at goal M pace</t>
        </is>
      </c>
      <c r="G220" s="32" t="n"/>
    </row>
    <row r="221" ht="15" customHeight="1" s="21">
      <c r="A221" s="32" t="inlineStr">
        <is>
          <t>Faster 5K</t>
        </is>
      </c>
      <c r="B221" s="32" t="n">
        <v>1</v>
      </c>
      <c r="C221" s="32" t="n">
        <v>1</v>
      </c>
      <c r="D221" s="32" t="inlineStr">
        <is>
          <t>Fartlek</t>
        </is>
      </c>
      <c r="E221" s="32" t="inlineStr">
        <is>
          <t>auto</t>
        </is>
      </c>
      <c r="F221" s="32" t="inlineStr">
        <is>
          <t>8 x (1 min @ I effort / 1 min E)</t>
        </is>
      </c>
      <c r="G221" s="32" t="n"/>
    </row>
    <row r="222" ht="15" customHeight="1" s="21">
      <c r="A222" s="32" t="inlineStr">
        <is>
          <t>Faster 5K</t>
        </is>
      </c>
      <c r="B222" s="32" t="n">
        <v>1</v>
      </c>
      <c r="C222" s="32" t="n">
        <v>2</v>
      </c>
      <c r="D222" s="32" t="inlineStr">
        <is>
          <t>Easy</t>
        </is>
      </c>
      <c r="E222" s="32" t="inlineStr">
        <is>
          <t>auto</t>
        </is>
      </c>
      <c r="F222" s="32" t="inlineStr">
        <is>
          <t>E continuous run</t>
        </is>
      </c>
      <c r="G222" s="32" t="n"/>
    </row>
    <row r="223" ht="15" customHeight="1" s="21">
      <c r="A223" s="32" t="inlineStr">
        <is>
          <t>Faster 5K</t>
        </is>
      </c>
      <c r="B223" s="32" t="n">
        <v>1</v>
      </c>
      <c r="C223" s="32" t="n">
        <v>3</v>
      </c>
      <c r="D223" s="32" t="inlineStr">
        <is>
          <t>Progression</t>
        </is>
      </c>
      <c r="E223" s="32" t="inlineStr">
        <is>
          <t>auto</t>
        </is>
      </c>
      <c r="F223" s="32" t="inlineStr">
        <is>
          <t>3 km E → 2 km STEADY → 1 km T</t>
        </is>
      </c>
      <c r="G223" s="32" t="n"/>
    </row>
    <row r="224" ht="15" customHeight="1" s="21">
      <c r="A224" s="32" t="inlineStr">
        <is>
          <t>Faster 5K</t>
        </is>
      </c>
      <c r="B224" s="32" t="n">
        <v>1</v>
      </c>
      <c r="C224" s="32" t="n">
        <v>4</v>
      </c>
      <c r="D224" s="32" t="inlineStr">
        <is>
          <t>Long</t>
        </is>
      </c>
      <c r="E224" s="32" t="inlineStr">
        <is>
          <t>auto</t>
        </is>
      </c>
      <c r="F224" s="32" t="inlineStr">
        <is>
          <t>Long run, conversational throughout</t>
        </is>
      </c>
      <c r="G224" s="32" t="n"/>
    </row>
    <row r="225" ht="15" customHeight="1" s="21">
      <c r="A225" s="32" t="inlineStr">
        <is>
          <t>Faster 5K</t>
        </is>
      </c>
      <c r="B225" s="32" t="n">
        <v>2</v>
      </c>
      <c r="C225" s="32" t="n">
        <v>1</v>
      </c>
      <c r="D225" s="32" t="inlineStr">
        <is>
          <t>Intervals</t>
        </is>
      </c>
      <c r="E225" s="32" t="inlineStr">
        <is>
          <t>auto</t>
        </is>
      </c>
      <c r="F225" s="32" t="inlineStr">
        <is>
          <t>10 x 400 m @ I, 75 s jog between</t>
        </is>
      </c>
      <c r="G225" s="32" t="n"/>
    </row>
    <row r="226" ht="15" customHeight="1" s="21">
      <c r="A226" s="32" t="inlineStr">
        <is>
          <t>Faster 5K</t>
        </is>
      </c>
      <c r="B226" s="32" t="n">
        <v>2</v>
      </c>
      <c r="C226" s="32" t="n">
        <v>2</v>
      </c>
      <c r="D226" s="32" t="inlineStr">
        <is>
          <t>Recovery</t>
        </is>
      </c>
      <c r="E226" s="32" t="inlineStr">
        <is>
          <t>auto</t>
        </is>
      </c>
      <c r="F226" s="32" t="inlineStr">
        <is>
          <t>Very relaxed recovery run</t>
        </is>
      </c>
      <c r="G226" s="32" t="n"/>
    </row>
    <row r="227" ht="15" customHeight="1" s="21">
      <c r="A227" s="32" t="inlineStr">
        <is>
          <t>Faster 5K</t>
        </is>
      </c>
      <c r="B227" s="32" t="n">
        <v>2</v>
      </c>
      <c r="C227" s="32" t="n">
        <v>3</v>
      </c>
      <c r="D227" s="32" t="inlineStr">
        <is>
          <t>Tempo</t>
        </is>
      </c>
      <c r="E227" s="32" t="inlineStr">
        <is>
          <t>auto</t>
        </is>
      </c>
      <c r="F227" s="32" t="inlineStr">
        <is>
          <t>2 x 8 min @ T, 2 min jog between</t>
        </is>
      </c>
      <c r="G227" s="32" t="n"/>
    </row>
    <row r="228" ht="15" customHeight="1" s="21">
      <c r="A228" s="32" t="inlineStr">
        <is>
          <t>Faster 5K</t>
        </is>
      </c>
      <c r="B228" s="32" t="n">
        <v>2</v>
      </c>
      <c r="C228" s="32" t="n">
        <v>4</v>
      </c>
      <c r="D228" s="32" t="inlineStr">
        <is>
          <t>Long</t>
        </is>
      </c>
      <c r="E228" s="32" t="inlineStr">
        <is>
          <t>auto</t>
        </is>
      </c>
      <c r="F228" s="32" t="inlineStr">
        <is>
          <t>Long run, conversational throughout</t>
        </is>
      </c>
      <c r="G228" s="32" t="n"/>
    </row>
    <row r="229" ht="15" customHeight="1" s="21">
      <c r="A229" s="32" t="inlineStr">
        <is>
          <t>Faster 5K</t>
        </is>
      </c>
      <c r="B229" s="32" t="n">
        <v>3</v>
      </c>
      <c r="C229" s="32" t="n">
        <v>1</v>
      </c>
      <c r="D229" s="32" t="inlineStr">
        <is>
          <t>Intervals</t>
        </is>
      </c>
      <c r="E229" s="32" t="inlineStr">
        <is>
          <t>auto</t>
        </is>
      </c>
      <c r="F229" s="32" t="inlineStr">
        <is>
          <t>6 x 600 m @ I, 90 s jog between</t>
        </is>
      </c>
      <c r="G229" s="32" t="n"/>
    </row>
    <row r="230" ht="15" customHeight="1" s="21">
      <c r="A230" s="32" t="inlineStr">
        <is>
          <t>Faster 5K</t>
        </is>
      </c>
      <c r="B230" s="32" t="n">
        <v>3</v>
      </c>
      <c r="C230" s="32" t="n">
        <v>2</v>
      </c>
      <c r="D230" s="32" t="inlineStr">
        <is>
          <t>Easy</t>
        </is>
      </c>
      <c r="E230" s="32" t="inlineStr">
        <is>
          <t>auto</t>
        </is>
      </c>
      <c r="F230" s="32" t="inlineStr">
        <is>
          <t>E continuous run</t>
        </is>
      </c>
      <c r="G230" s="32" t="n"/>
    </row>
    <row r="231" ht="15" customHeight="1" s="21">
      <c r="A231" s="32" t="inlineStr">
        <is>
          <t>Faster 5K</t>
        </is>
      </c>
      <c r="B231" s="32" t="n">
        <v>3</v>
      </c>
      <c r="C231" s="32" t="n">
        <v>3</v>
      </c>
      <c r="D231" s="32" t="inlineStr">
        <is>
          <t>Progression</t>
        </is>
      </c>
      <c r="E231" s="32" t="inlineStr">
        <is>
          <t>auto</t>
        </is>
      </c>
      <c r="F231" s="32" t="inlineStr">
        <is>
          <t>3 km E → 2 km STEADY → 2 km T</t>
        </is>
      </c>
      <c r="G231" s="32" t="n"/>
    </row>
    <row r="232" ht="15" customHeight="1" s="21">
      <c r="A232" s="32" t="inlineStr">
        <is>
          <t>Faster 5K</t>
        </is>
      </c>
      <c r="B232" s="32" t="n">
        <v>3</v>
      </c>
      <c r="C232" s="32" t="n">
        <v>4</v>
      </c>
      <c r="D232" s="32" t="inlineStr">
        <is>
          <t>Long</t>
        </is>
      </c>
      <c r="E232" s="32" t="inlineStr">
        <is>
          <t>auto</t>
        </is>
      </c>
      <c r="F232" s="32" t="inlineStr">
        <is>
          <t>Long run, conversational throughout</t>
        </is>
      </c>
      <c r="G232" s="32" t="n"/>
    </row>
    <row r="233" ht="15" customHeight="1" s="21">
      <c r="A233" s="32" t="inlineStr">
        <is>
          <t>Faster 5K</t>
        </is>
      </c>
      <c r="B233" s="32" t="n">
        <v>4</v>
      </c>
      <c r="C233" s="32" t="n">
        <v>1</v>
      </c>
      <c r="D233" s="32" t="inlineStr">
        <is>
          <t>Fartlek</t>
        </is>
      </c>
      <c r="E233" s="32" t="inlineStr">
        <is>
          <t>auto</t>
        </is>
      </c>
      <c r="F233" s="32" t="inlineStr">
        <is>
          <t>6 x (2 min @ 5K effort / 1 min E)</t>
        </is>
      </c>
      <c r="G233" s="32" t="n"/>
    </row>
    <row r="234" ht="15" customHeight="1" s="21">
      <c r="A234" s="32" t="inlineStr">
        <is>
          <t>Faster 5K</t>
        </is>
      </c>
      <c r="B234" s="32" t="n">
        <v>4</v>
      </c>
      <c r="C234" s="32" t="n">
        <v>2</v>
      </c>
      <c r="D234" s="32" t="inlineStr">
        <is>
          <t>Recovery</t>
        </is>
      </c>
      <c r="E234" s="32" t="inlineStr">
        <is>
          <t>auto</t>
        </is>
      </c>
      <c r="F234" s="32" t="inlineStr">
        <is>
          <t>Very relaxed recovery run</t>
        </is>
      </c>
      <c r="G234" s="32" t="n"/>
    </row>
    <row r="235" ht="15" customHeight="1" s="21">
      <c r="A235" s="32" t="inlineStr">
        <is>
          <t>Faster 5K</t>
        </is>
      </c>
      <c r="B235" s="32" t="n">
        <v>4</v>
      </c>
      <c r="C235" s="32" t="n">
        <v>3</v>
      </c>
      <c r="D235" s="32" t="inlineStr">
        <is>
          <t>Tempo</t>
        </is>
      </c>
      <c r="E235" s="32" t="inlineStr">
        <is>
          <t>auto</t>
        </is>
      </c>
      <c r="F235" s="32" t="inlineStr">
        <is>
          <t>15 min continuous @ T</t>
        </is>
      </c>
      <c r="G235" s="32" t="n"/>
    </row>
    <row r="236" ht="15" customHeight="1" s="21">
      <c r="A236" s="32" t="inlineStr">
        <is>
          <t>Faster 5K</t>
        </is>
      </c>
      <c r="B236" s="32" t="n">
        <v>4</v>
      </c>
      <c r="C236" s="32" t="n">
        <v>4</v>
      </c>
      <c r="D236" s="32" t="inlineStr">
        <is>
          <t>Long</t>
        </is>
      </c>
      <c r="E236" s="32" t="inlineStr">
        <is>
          <t>auto</t>
        </is>
      </c>
      <c r="F236" s="32" t="inlineStr">
        <is>
          <t>Shorter long run, E</t>
        </is>
      </c>
      <c r="G236" s="32" t="n"/>
    </row>
    <row r="237" ht="15" customHeight="1" s="21">
      <c r="A237" s="32" t="inlineStr">
        <is>
          <t>Faster 5K</t>
        </is>
      </c>
      <c r="B237" s="32" t="n">
        <v>5</v>
      </c>
      <c r="C237" s="32" t="n">
        <v>1</v>
      </c>
      <c r="D237" s="32" t="inlineStr">
        <is>
          <t>Intervals</t>
        </is>
      </c>
      <c r="E237" s="32" t="inlineStr">
        <is>
          <t>auto</t>
        </is>
      </c>
      <c r="F237" s="32" t="inlineStr">
        <is>
          <t>5 x 800 m @ I, 2 min jog between</t>
        </is>
      </c>
      <c r="G237" s="32" t="n"/>
    </row>
    <row r="238" ht="15" customHeight="1" s="21">
      <c r="A238" s="32" t="inlineStr">
        <is>
          <t>Faster 5K</t>
        </is>
      </c>
      <c r="B238" s="32" t="n">
        <v>5</v>
      </c>
      <c r="C238" s="32" t="n">
        <v>2</v>
      </c>
      <c r="D238" s="32" t="inlineStr">
        <is>
          <t>Easy</t>
        </is>
      </c>
      <c r="E238" s="32" t="inlineStr">
        <is>
          <t>auto</t>
        </is>
      </c>
      <c r="F238" s="32" t="inlineStr">
        <is>
          <t>E continuous run</t>
        </is>
      </c>
      <c r="G238" s="32" t="n"/>
    </row>
    <row r="239" ht="15" customHeight="1" s="21">
      <c r="A239" s="32" t="inlineStr">
        <is>
          <t>Faster 5K</t>
        </is>
      </c>
      <c r="B239" s="32" t="n">
        <v>5</v>
      </c>
      <c r="C239" s="32" t="n">
        <v>3</v>
      </c>
      <c r="D239" s="32" t="inlineStr">
        <is>
          <t>Tempo</t>
        </is>
      </c>
      <c r="E239" s="32" t="inlineStr">
        <is>
          <t>auto</t>
        </is>
      </c>
      <c r="F239" s="32" t="inlineStr">
        <is>
          <t>3 x 8 min @ T, 2 min jog between</t>
        </is>
      </c>
      <c r="G239" s="32" t="n"/>
    </row>
    <row r="240" ht="15" customHeight="1" s="21">
      <c r="A240" s="32" t="inlineStr">
        <is>
          <t>Faster 5K</t>
        </is>
      </c>
      <c r="B240" s="32" t="n">
        <v>5</v>
      </c>
      <c r="C240" s="32" t="n">
        <v>4</v>
      </c>
      <c r="D240" s="32" t="inlineStr">
        <is>
          <t>Long</t>
        </is>
      </c>
      <c r="E240" s="32" t="inlineStr">
        <is>
          <t>auto</t>
        </is>
      </c>
      <c r="F240" s="32" t="inlineStr">
        <is>
          <t>Long run, conversational throughout</t>
        </is>
      </c>
      <c r="G240" s="32" t="n"/>
    </row>
    <row r="241" ht="15" customHeight="1" s="21">
      <c r="A241" s="32" t="inlineStr">
        <is>
          <t>Faster 5K</t>
        </is>
      </c>
      <c r="B241" s="32" t="n">
        <v>6</v>
      </c>
      <c r="C241" s="32" t="n">
        <v>1</v>
      </c>
      <c r="D241" s="32" t="inlineStr">
        <is>
          <t>Intervals</t>
        </is>
      </c>
      <c r="E241" s="32" t="inlineStr">
        <is>
          <t>auto</t>
        </is>
      </c>
      <c r="F241" s="32" t="inlineStr">
        <is>
          <t>12 x 400 m @ I, 60 s jog between</t>
        </is>
      </c>
      <c r="G241" s="32" t="n"/>
    </row>
    <row r="242" ht="15" customHeight="1" s="21">
      <c r="A242" s="32" t="inlineStr">
        <is>
          <t>Faster 5K</t>
        </is>
      </c>
      <c r="B242" s="32" t="n">
        <v>6</v>
      </c>
      <c r="C242" s="32" t="n">
        <v>2</v>
      </c>
      <c r="D242" s="32" t="inlineStr">
        <is>
          <t>Recovery</t>
        </is>
      </c>
      <c r="E242" s="32" t="inlineStr">
        <is>
          <t>auto</t>
        </is>
      </c>
      <c r="F242" s="32" t="inlineStr">
        <is>
          <t>Very relaxed recovery run</t>
        </is>
      </c>
      <c r="G242" s="32" t="n"/>
    </row>
    <row r="243" ht="15" customHeight="1" s="21">
      <c r="A243" s="32" t="inlineStr">
        <is>
          <t>Faster 5K</t>
        </is>
      </c>
      <c r="B243" s="32" t="n">
        <v>6</v>
      </c>
      <c r="C243" s="32" t="n">
        <v>3</v>
      </c>
      <c r="D243" s="32" t="inlineStr">
        <is>
          <t>Progression</t>
        </is>
      </c>
      <c r="E243" s="32" t="inlineStr">
        <is>
          <t>auto</t>
        </is>
      </c>
      <c r="F243" s="32" t="inlineStr">
        <is>
          <t>3 km E → 3 km STEADY → 2 km T</t>
        </is>
      </c>
      <c r="G243" s="32" t="n"/>
    </row>
    <row r="244" ht="15" customHeight="1" s="21">
      <c r="A244" s="32" t="inlineStr">
        <is>
          <t>Faster 5K</t>
        </is>
      </c>
      <c r="B244" s="32" t="n">
        <v>6</v>
      </c>
      <c r="C244" s="32" t="n">
        <v>4</v>
      </c>
      <c r="D244" s="32" t="inlineStr">
        <is>
          <t>Long</t>
        </is>
      </c>
      <c r="E244" s="32" t="inlineStr">
        <is>
          <t>auto</t>
        </is>
      </c>
      <c r="F244" s="32" t="inlineStr">
        <is>
          <t>Long run, conversational throughout</t>
        </is>
      </c>
      <c r="G244" s="32" t="n"/>
    </row>
    <row r="245" ht="15" customHeight="1" s="21">
      <c r="A245" s="32" t="inlineStr">
        <is>
          <t>Faster 5K</t>
        </is>
      </c>
      <c r="B245" s="32" t="n">
        <v>7</v>
      </c>
      <c r="C245" s="32" t="n">
        <v>1</v>
      </c>
      <c r="D245" s="32" t="inlineStr">
        <is>
          <t>Fartlek</t>
        </is>
      </c>
      <c r="E245" s="32" t="inlineStr">
        <is>
          <t>auto</t>
        </is>
      </c>
      <c r="F245" s="32" t="inlineStr">
        <is>
          <t>5 x (3 min @ 5K / 1 min @ I / 2 min E)</t>
        </is>
      </c>
      <c r="G245" s="32" t="n"/>
    </row>
    <row r="246" ht="15" customHeight="1" s="21">
      <c r="A246" s="32" t="inlineStr">
        <is>
          <t>Faster 5K</t>
        </is>
      </c>
      <c r="B246" s="32" t="n">
        <v>7</v>
      </c>
      <c r="C246" s="32" t="n">
        <v>2</v>
      </c>
      <c r="D246" s="32" t="inlineStr">
        <is>
          <t>Easy</t>
        </is>
      </c>
      <c r="E246" s="32" t="inlineStr">
        <is>
          <t>auto</t>
        </is>
      </c>
      <c r="F246" s="32" t="inlineStr">
        <is>
          <t>E continuous run</t>
        </is>
      </c>
      <c r="G246" s="32" t="n"/>
    </row>
    <row r="247" ht="15" customHeight="1" s="21">
      <c r="A247" s="32" t="inlineStr">
        <is>
          <t>Faster 5K</t>
        </is>
      </c>
      <c r="B247" s="32" t="n">
        <v>7</v>
      </c>
      <c r="C247" s="32" t="n">
        <v>3</v>
      </c>
      <c r="D247" s="32" t="inlineStr">
        <is>
          <t>Tempo</t>
        </is>
      </c>
      <c r="E247" s="32" t="inlineStr">
        <is>
          <t>auto</t>
        </is>
      </c>
      <c r="F247" s="32" t="inlineStr">
        <is>
          <t>2 x 12 min @ T, 3 min jog between</t>
        </is>
      </c>
      <c r="G247" s="32" t="n"/>
    </row>
    <row r="248" ht="15" customHeight="1" s="21">
      <c r="A248" s="32" t="inlineStr">
        <is>
          <t>Faster 5K</t>
        </is>
      </c>
      <c r="B248" s="32" t="n">
        <v>7</v>
      </c>
      <c r="C248" s="32" t="n">
        <v>4</v>
      </c>
      <c r="D248" s="32" t="inlineStr">
        <is>
          <t>Long</t>
        </is>
      </c>
      <c r="E248" s="32" t="inlineStr">
        <is>
          <t>auto</t>
        </is>
      </c>
      <c r="F248" s="32" t="inlineStr">
        <is>
          <t>Long run, conversational throughout</t>
        </is>
      </c>
      <c r="G248" s="32" t="n"/>
    </row>
    <row r="249" ht="15" customHeight="1" s="21">
      <c r="A249" s="32" t="inlineStr">
        <is>
          <t>Faster 5K</t>
        </is>
      </c>
      <c r="B249" s="32" t="n">
        <v>8</v>
      </c>
      <c r="C249" s="32" t="n">
        <v>1</v>
      </c>
      <c r="D249" s="32" t="inlineStr">
        <is>
          <t>Fartlek</t>
        </is>
      </c>
      <c r="E249" s="32" t="inlineStr">
        <is>
          <t>auto</t>
        </is>
      </c>
      <c r="F249" s="32" t="inlineStr">
        <is>
          <t>8 x (1 min @ I effort / 1 min E)</t>
        </is>
      </c>
      <c r="G249" s="32" t="n"/>
    </row>
    <row r="250" ht="15" customHeight="1" s="21">
      <c r="A250" s="32" t="inlineStr">
        <is>
          <t>Faster 5K</t>
        </is>
      </c>
      <c r="B250" s="32" t="n">
        <v>8</v>
      </c>
      <c r="C250" s="32" t="n">
        <v>2</v>
      </c>
      <c r="D250" s="32" t="inlineStr">
        <is>
          <t>Recovery</t>
        </is>
      </c>
      <c r="E250" s="32" t="inlineStr">
        <is>
          <t>auto</t>
        </is>
      </c>
      <c r="F250" s="32" t="inlineStr">
        <is>
          <t>Very relaxed recovery run</t>
        </is>
      </c>
      <c r="G250" s="32" t="n"/>
    </row>
    <row r="251" ht="15" customHeight="1" s="21">
      <c r="A251" s="32" t="inlineStr">
        <is>
          <t>Faster 5K</t>
        </is>
      </c>
      <c r="B251" s="32" t="n">
        <v>8</v>
      </c>
      <c r="C251" s="32" t="n">
        <v>3</v>
      </c>
      <c r="D251" s="32" t="inlineStr">
        <is>
          <t>Progression</t>
        </is>
      </c>
      <c r="E251" s="32" t="inlineStr">
        <is>
          <t>auto</t>
        </is>
      </c>
      <c r="F251" s="32" t="inlineStr">
        <is>
          <t>3 km E → 2 km STEADY → 2 km T</t>
        </is>
      </c>
      <c r="G251" s="32" t="n"/>
    </row>
    <row r="252" ht="15" customHeight="1" s="21">
      <c r="A252" s="32" t="inlineStr">
        <is>
          <t>Faster 5K</t>
        </is>
      </c>
      <c r="B252" s="32" t="n">
        <v>8</v>
      </c>
      <c r="C252" s="32" t="n">
        <v>4</v>
      </c>
      <c r="D252" s="32" t="inlineStr">
        <is>
          <t>Long</t>
        </is>
      </c>
      <c r="E252" s="32" t="inlineStr">
        <is>
          <t>auto</t>
        </is>
      </c>
      <c r="F252" s="32" t="inlineStr">
        <is>
          <t>Shorter long run, E</t>
        </is>
      </c>
      <c r="G252" s="32" t="n"/>
    </row>
    <row r="253" ht="15" customHeight="1" s="21">
      <c r="A253" s="32" t="inlineStr">
        <is>
          <t>Faster 5K</t>
        </is>
      </c>
      <c r="B253" s="32" t="n">
        <v>9</v>
      </c>
      <c r="C253" s="32" t="n">
        <v>1</v>
      </c>
      <c r="D253" s="32" t="inlineStr">
        <is>
          <t>Intervals</t>
        </is>
      </c>
      <c r="E253" s="32" t="inlineStr">
        <is>
          <t>auto</t>
        </is>
      </c>
      <c r="F253" s="32" t="inlineStr">
        <is>
          <t>5 x 1 km @ I, 2 min jog between</t>
        </is>
      </c>
      <c r="G253" s="32" t="n"/>
    </row>
    <row r="254" ht="15" customHeight="1" s="21">
      <c r="A254" s="32" t="inlineStr">
        <is>
          <t>Faster 5K</t>
        </is>
      </c>
      <c r="B254" s="32" t="n">
        <v>9</v>
      </c>
      <c r="C254" s="32" t="n">
        <v>2</v>
      </c>
      <c r="D254" s="32" t="inlineStr">
        <is>
          <t>Easy</t>
        </is>
      </c>
      <c r="E254" s="32" t="inlineStr">
        <is>
          <t>auto</t>
        </is>
      </c>
      <c r="F254" s="32" t="inlineStr">
        <is>
          <t>E continuous run</t>
        </is>
      </c>
      <c r="G254" s="32" t="n"/>
    </row>
    <row r="255" ht="15" customHeight="1" s="21">
      <c r="A255" s="32" t="inlineStr">
        <is>
          <t>Faster 5K</t>
        </is>
      </c>
      <c r="B255" s="32" t="n">
        <v>9</v>
      </c>
      <c r="C255" s="32" t="n">
        <v>3</v>
      </c>
      <c r="D255" s="32" t="inlineStr">
        <is>
          <t>Tempo</t>
        </is>
      </c>
      <c r="E255" s="32" t="inlineStr">
        <is>
          <t>auto</t>
        </is>
      </c>
      <c r="F255" s="32" t="inlineStr">
        <is>
          <t>25 min continuous @ T</t>
        </is>
      </c>
      <c r="G255" s="32" t="n"/>
    </row>
    <row r="256" ht="15" customHeight="1" s="21">
      <c r="A256" s="32" t="inlineStr">
        <is>
          <t>Faster 5K</t>
        </is>
      </c>
      <c r="B256" s="32" t="n">
        <v>9</v>
      </c>
      <c r="C256" s="32" t="n">
        <v>4</v>
      </c>
      <c r="D256" s="32" t="inlineStr">
        <is>
          <t>Long</t>
        </is>
      </c>
      <c r="E256" s="32" t="inlineStr">
        <is>
          <t>auto</t>
        </is>
      </c>
      <c r="F256" s="32" t="inlineStr">
        <is>
          <t>Long run, conversational throughout</t>
        </is>
      </c>
      <c r="G256" s="32" t="n"/>
    </row>
    <row r="257" ht="15" customHeight="1" s="21">
      <c r="A257" s="32" t="inlineStr">
        <is>
          <t>Faster 5K</t>
        </is>
      </c>
      <c r="B257" s="32" t="n">
        <v>10</v>
      </c>
      <c r="C257" s="32" t="n">
        <v>1</v>
      </c>
      <c r="D257" s="32" t="inlineStr">
        <is>
          <t>Intervals</t>
        </is>
      </c>
      <c r="E257" s="32" t="inlineStr">
        <is>
          <t>auto</t>
        </is>
      </c>
      <c r="F257" s="32" t="inlineStr">
        <is>
          <t>8 x 600 m @ I, 90 s jog between</t>
        </is>
      </c>
      <c r="G257" s="32" t="n"/>
    </row>
    <row r="258" ht="15" customHeight="1" s="21">
      <c r="A258" s="32" t="inlineStr">
        <is>
          <t>Faster 5K</t>
        </is>
      </c>
      <c r="B258" s="32" t="n">
        <v>10</v>
      </c>
      <c r="C258" s="32" t="n">
        <v>2</v>
      </c>
      <c r="D258" s="32" t="inlineStr">
        <is>
          <t>Recovery</t>
        </is>
      </c>
      <c r="E258" s="32" t="inlineStr">
        <is>
          <t>auto</t>
        </is>
      </c>
      <c r="F258" s="32" t="inlineStr">
        <is>
          <t>Very relaxed recovery run</t>
        </is>
      </c>
      <c r="G258" s="32" t="n"/>
    </row>
    <row r="259" ht="15" customHeight="1" s="21">
      <c r="A259" s="32" t="inlineStr">
        <is>
          <t>Faster 5K</t>
        </is>
      </c>
      <c r="B259" s="32" t="n">
        <v>10</v>
      </c>
      <c r="C259" s="32" t="n">
        <v>3</v>
      </c>
      <c r="D259" s="32" t="inlineStr">
        <is>
          <t>Tempo</t>
        </is>
      </c>
      <c r="E259" s="32" t="inlineStr">
        <is>
          <t>auto</t>
        </is>
      </c>
      <c r="F259" s="32" t="inlineStr">
        <is>
          <t>3 x 2 km @ T, 2 min jog between</t>
        </is>
      </c>
      <c r="G259" s="32" t="n"/>
    </row>
    <row r="260" ht="15" customHeight="1" s="21">
      <c r="A260" s="32" t="inlineStr">
        <is>
          <t>Faster 5K</t>
        </is>
      </c>
      <c r="B260" s="32" t="n">
        <v>10</v>
      </c>
      <c r="C260" s="32" t="n">
        <v>4</v>
      </c>
      <c r="D260" s="32" t="inlineStr">
        <is>
          <t>Long</t>
        </is>
      </c>
      <c r="E260" s="32" t="inlineStr">
        <is>
          <t>auto</t>
        </is>
      </c>
      <c r="F260" s="32" t="inlineStr">
        <is>
          <t>Long run, conversational throughout</t>
        </is>
      </c>
      <c r="G260" s="32" t="n"/>
    </row>
    <row r="261" ht="15" customHeight="1" s="21">
      <c r="A261" s="32" t="inlineStr">
        <is>
          <t>Faster 5K</t>
        </is>
      </c>
      <c r="B261" s="32" t="n">
        <v>11</v>
      </c>
      <c r="C261" s="32" t="n">
        <v>1</v>
      </c>
      <c r="D261" s="32" t="inlineStr">
        <is>
          <t>Intervals</t>
        </is>
      </c>
      <c r="E261" s="32" t="inlineStr">
        <is>
          <t>auto</t>
        </is>
      </c>
      <c r="F261" s="32" t="inlineStr">
        <is>
          <t>6 x 400 m @ I, 90 s jog between</t>
        </is>
      </c>
      <c r="G261" s="32" t="n"/>
    </row>
    <row r="262" ht="15" customHeight="1" s="21">
      <c r="A262" s="32" t="inlineStr">
        <is>
          <t>Faster 5K</t>
        </is>
      </c>
      <c r="B262" s="32" t="n">
        <v>11</v>
      </c>
      <c r="C262" s="32" t="n">
        <v>2</v>
      </c>
      <c r="D262" s="32" t="inlineStr">
        <is>
          <t>Easy</t>
        </is>
      </c>
      <c r="E262" s="32" t="inlineStr">
        <is>
          <t>auto</t>
        </is>
      </c>
      <c r="F262" s="32" t="inlineStr">
        <is>
          <t>E continuous run</t>
        </is>
      </c>
      <c r="G262" s="32" t="n"/>
    </row>
    <row r="263" ht="15" customHeight="1" s="21">
      <c r="A263" s="32" t="inlineStr">
        <is>
          <t>Faster 5K</t>
        </is>
      </c>
      <c r="B263" s="32" t="n">
        <v>11</v>
      </c>
      <c r="C263" s="32" t="n">
        <v>3</v>
      </c>
      <c r="D263" s="32" t="inlineStr">
        <is>
          <t>Fartlek</t>
        </is>
      </c>
      <c r="E263" s="32" t="inlineStr">
        <is>
          <t>auto</t>
        </is>
      </c>
      <c r="F263" s="32" t="inlineStr">
        <is>
          <t>6 x (90 s @ 5K / 90 s E)</t>
        </is>
      </c>
      <c r="G263" s="32" t="n"/>
    </row>
    <row r="264" ht="15" customHeight="1" s="21">
      <c r="A264" s="32" t="inlineStr">
        <is>
          <t>Faster 5K</t>
        </is>
      </c>
      <c r="B264" s="32" t="n">
        <v>11</v>
      </c>
      <c r="C264" s="32" t="n">
        <v>4</v>
      </c>
      <c r="D264" s="32" t="inlineStr">
        <is>
          <t>Long</t>
        </is>
      </c>
      <c r="E264" s="32" t="inlineStr">
        <is>
          <t>auto</t>
        </is>
      </c>
      <c r="F264" s="32" t="inlineStr">
        <is>
          <t>Reduced long run, E</t>
        </is>
      </c>
      <c r="G264" s="32" t="n"/>
    </row>
    <row r="265" ht="15" customHeight="1" s="21">
      <c r="A265" s="32" t="inlineStr">
        <is>
          <t>Faster 5K</t>
        </is>
      </c>
      <c r="B265" s="32" t="n">
        <v>12</v>
      </c>
      <c r="C265" s="32" t="n">
        <v>1</v>
      </c>
      <c r="D265" s="32" t="inlineStr">
        <is>
          <t>Intervals</t>
        </is>
      </c>
      <c r="E265" s="32" t="inlineStr">
        <is>
          <t>auto</t>
        </is>
      </c>
      <c r="F265" s="32" t="inlineStr">
        <is>
          <t>4 x 400 m @ 5K, 90 s jog between</t>
        </is>
      </c>
      <c r="G265" s="32" t="n"/>
    </row>
    <row r="266" ht="15" customHeight="1" s="21">
      <c r="A266" s="32" t="inlineStr">
        <is>
          <t>Faster 5K</t>
        </is>
      </c>
      <c r="B266" s="32" t="n">
        <v>12</v>
      </c>
      <c r="C266" s="32" t="n">
        <v>2</v>
      </c>
      <c r="D266" s="32" t="inlineStr">
        <is>
          <t>Easy</t>
        </is>
      </c>
      <c r="E266" s="32" t="inlineStr">
        <is>
          <t>auto</t>
        </is>
      </c>
      <c r="F266" s="32" t="inlineStr">
        <is>
          <t>E continuous run</t>
        </is>
      </c>
      <c r="G266" s="32" t="n"/>
    </row>
    <row r="267" ht="15" customHeight="1" s="21">
      <c r="A267" s="32" t="inlineStr">
        <is>
          <t>Faster 5K</t>
        </is>
      </c>
      <c r="B267" s="32" t="n">
        <v>12</v>
      </c>
      <c r="C267" s="32" t="n">
        <v>3</v>
      </c>
      <c r="D267" s="32" t="inlineStr">
        <is>
          <t>Shakeout</t>
        </is>
      </c>
      <c r="E267" s="32" t="inlineStr">
        <is>
          <t>auto</t>
        </is>
      </c>
      <c r="F267" s="32" t="inlineStr">
        <is>
          <t>3 km E + 4 x 20 s strides</t>
        </is>
      </c>
      <c r="G267" s="32" t="n"/>
    </row>
    <row r="268" ht="15" customHeight="1" s="21">
      <c r="A268" s="32" t="inlineStr">
        <is>
          <t>Faster 5K</t>
        </is>
      </c>
      <c r="B268" s="32" t="n">
        <v>12</v>
      </c>
      <c r="C268" s="32" t="n">
        <v>4</v>
      </c>
      <c r="D268" s="32" t="inlineStr">
        <is>
          <t>Race</t>
        </is>
      </c>
      <c r="E268" s="32" t="inlineStr">
        <is>
          <t>auto</t>
        </is>
      </c>
      <c r="F268" s="32" t="inlineStr">
        <is>
          <t>5K RACE – race at goal 5K pace</t>
        </is>
      </c>
      <c r="G268" s="32" t="n"/>
    </row>
    <row r="269" ht="15" customHeight="1" s="21">
      <c r="A269" s="32" t="inlineStr">
        <is>
          <t>First 5K</t>
        </is>
      </c>
      <c r="B269" s="32" t="n">
        <v>1</v>
      </c>
      <c r="C269" s="32" t="n">
        <v>1</v>
      </c>
      <c r="D269" s="32" t="inlineStr">
        <is>
          <t>Easy</t>
        </is>
      </c>
      <c r="E269" s="32" t="inlineStr">
        <is>
          <t>auto</t>
        </is>
      </c>
      <c r="F269" s="32" t="inlineStr">
        <is>
          <t>8 x 1 min @ E effort, 90 s walk between</t>
        </is>
      </c>
      <c r="G269" s="32" t="n"/>
    </row>
    <row r="270" ht="15" customHeight="1" s="21">
      <c r="A270" s="32" t="inlineStr">
        <is>
          <t>First 5K</t>
        </is>
      </c>
      <c r="B270" s="32" t="n">
        <v>1</v>
      </c>
      <c r="C270" s="32" t="n">
        <v>2</v>
      </c>
      <c r="D270" s="32" t="inlineStr">
        <is>
          <t>Easy</t>
        </is>
      </c>
      <c r="E270" s="32" t="inlineStr">
        <is>
          <t>auto</t>
        </is>
      </c>
      <c r="F270" s="32" t="inlineStr">
        <is>
          <t>8 x 1 min @ E effort, 90 s walk between</t>
        </is>
      </c>
      <c r="G270" s="32" t="n"/>
    </row>
    <row r="271" ht="15" customHeight="1" s="21">
      <c r="A271" s="32" t="inlineStr">
        <is>
          <t>First 5K</t>
        </is>
      </c>
      <c r="B271" s="32" t="n">
        <v>1</v>
      </c>
      <c r="C271" s="32" t="n">
        <v>3</v>
      </c>
      <c r="D271" s="32" t="inlineStr">
        <is>
          <t>Long</t>
        </is>
      </c>
      <c r="E271" s="32" t="inlineStr">
        <is>
          <t>auto</t>
        </is>
      </c>
      <c r="F271" s="32" t="inlineStr">
        <is>
          <t>8 x 1 min @ E effort, 90 s walk between</t>
        </is>
      </c>
      <c r="G271" s="32" t="n"/>
    </row>
    <row r="272" ht="15" customHeight="1" s="21">
      <c r="A272" s="32" t="inlineStr">
        <is>
          <t>First 5K</t>
        </is>
      </c>
      <c r="B272" s="32" t="n">
        <v>2</v>
      </c>
      <c r="C272" s="32" t="n">
        <v>1</v>
      </c>
      <c r="D272" s="32" t="inlineStr">
        <is>
          <t>Easy</t>
        </is>
      </c>
      <c r="E272" s="32" t="inlineStr">
        <is>
          <t>auto</t>
        </is>
      </c>
      <c r="F272" s="32" t="inlineStr">
        <is>
          <t>6 x 2 min @ E effort, 2 min walk between</t>
        </is>
      </c>
      <c r="G272" s="32" t="n"/>
    </row>
    <row r="273" ht="15" customHeight="1" s="21">
      <c r="A273" s="32" t="inlineStr">
        <is>
          <t>First 5K</t>
        </is>
      </c>
      <c r="B273" s="32" t="n">
        <v>2</v>
      </c>
      <c r="C273" s="32" t="n">
        <v>2</v>
      </c>
      <c r="D273" s="32" t="inlineStr">
        <is>
          <t>Easy</t>
        </is>
      </c>
      <c r="E273" s="32" t="inlineStr">
        <is>
          <t>auto</t>
        </is>
      </c>
      <c r="F273" s="32" t="inlineStr">
        <is>
          <t>6 x 2 min @ E effort, 90 s walk between</t>
        </is>
      </c>
      <c r="G273" s="32" t="n"/>
    </row>
    <row r="274" ht="15" customHeight="1" s="21">
      <c r="A274" s="32" t="inlineStr">
        <is>
          <t>First 5K</t>
        </is>
      </c>
      <c r="B274" s="32" t="n">
        <v>2</v>
      </c>
      <c r="C274" s="32" t="n">
        <v>3</v>
      </c>
      <c r="D274" s="32" t="inlineStr">
        <is>
          <t>Long</t>
        </is>
      </c>
      <c r="E274" s="32" t="inlineStr">
        <is>
          <t>auto</t>
        </is>
      </c>
      <c r="F274" s="32" t="inlineStr">
        <is>
          <t>5 x 3 min @ E effort, 2 min walk between</t>
        </is>
      </c>
      <c r="G274" s="32" t="n"/>
    </row>
    <row r="275" ht="15" customHeight="1" s="21">
      <c r="A275" s="32" t="inlineStr">
        <is>
          <t>First 5K</t>
        </is>
      </c>
      <c r="B275" s="32" t="n">
        <v>3</v>
      </c>
      <c r="C275" s="32" t="n">
        <v>1</v>
      </c>
      <c r="D275" s="32" t="inlineStr">
        <is>
          <t>Easy</t>
        </is>
      </c>
      <c r="E275" s="32" t="inlineStr">
        <is>
          <t>auto</t>
        </is>
      </c>
      <c r="F275" s="32" t="inlineStr">
        <is>
          <t>5 x 3 min @ E effort, 90 s walk between</t>
        </is>
      </c>
      <c r="G275" s="32" t="n"/>
    </row>
    <row r="276" ht="15" customHeight="1" s="21">
      <c r="A276" s="32" t="inlineStr">
        <is>
          <t>First 5K</t>
        </is>
      </c>
      <c r="B276" s="32" t="n">
        <v>3</v>
      </c>
      <c r="C276" s="32" t="n">
        <v>2</v>
      </c>
      <c r="D276" s="32" t="inlineStr">
        <is>
          <t>Easy</t>
        </is>
      </c>
      <c r="E276" s="32" t="inlineStr">
        <is>
          <t>auto</t>
        </is>
      </c>
      <c r="F276" s="32" t="inlineStr">
        <is>
          <t>4 x 4 min @ E effort, 90 s walk between</t>
        </is>
      </c>
      <c r="G276" s="32" t="n"/>
    </row>
    <row r="277" ht="15" customHeight="1" s="21">
      <c r="A277" s="32" t="inlineStr">
        <is>
          <t>First 5K</t>
        </is>
      </c>
      <c r="B277" s="32" t="n">
        <v>3</v>
      </c>
      <c r="C277" s="32" t="n">
        <v>3</v>
      </c>
      <c r="D277" s="32" t="inlineStr">
        <is>
          <t>Long</t>
        </is>
      </c>
      <c r="E277" s="32" t="inlineStr">
        <is>
          <t>auto</t>
        </is>
      </c>
      <c r="F277" s="32" t="inlineStr">
        <is>
          <t>4 x 5 min @ E effort, 2 min walk between</t>
        </is>
      </c>
      <c r="G277" s="32" t="n"/>
    </row>
    <row r="278" ht="15" customHeight="1" s="21">
      <c r="A278" s="32" t="inlineStr">
        <is>
          <t>First 5K</t>
        </is>
      </c>
      <c r="B278" s="32" t="n">
        <v>4</v>
      </c>
      <c r="C278" s="32" t="n">
        <v>1</v>
      </c>
      <c r="D278" s="32" t="inlineStr">
        <is>
          <t>Easy</t>
        </is>
      </c>
      <c r="E278" s="32" t="inlineStr">
        <is>
          <t>auto</t>
        </is>
      </c>
      <c r="F278" s="32" t="inlineStr">
        <is>
          <t>3 x 6 min @ E effort, 2 min walk between</t>
        </is>
      </c>
      <c r="G278" s="32" t="n"/>
    </row>
    <row r="279" ht="15" customHeight="1" s="21">
      <c r="A279" s="32" t="inlineStr">
        <is>
          <t>First 5K</t>
        </is>
      </c>
      <c r="B279" s="32" t="n">
        <v>4</v>
      </c>
      <c r="C279" s="32" t="n">
        <v>2</v>
      </c>
      <c r="D279" s="32" t="inlineStr">
        <is>
          <t>Easy</t>
        </is>
      </c>
      <c r="E279" s="32" t="inlineStr">
        <is>
          <t>auto</t>
        </is>
      </c>
      <c r="F279" s="32" t="inlineStr">
        <is>
          <t>3 x 7 min @ E effort, 90 s walk between</t>
        </is>
      </c>
      <c r="G279" s="32" t="n"/>
    </row>
    <row r="280" ht="15" customHeight="1" s="21">
      <c r="A280" s="32" t="inlineStr">
        <is>
          <t>First 5K</t>
        </is>
      </c>
      <c r="B280" s="32" t="n">
        <v>4</v>
      </c>
      <c r="C280" s="32" t="n">
        <v>3</v>
      </c>
      <c r="D280" s="32" t="inlineStr">
        <is>
          <t>Long</t>
        </is>
      </c>
      <c r="E280" s="32" t="inlineStr">
        <is>
          <t>auto</t>
        </is>
      </c>
      <c r="F280" s="32" t="inlineStr">
        <is>
          <t>2 x 10 min @ E effort, 2 min walk between</t>
        </is>
      </c>
      <c r="G280" s="32" t="n"/>
    </row>
    <row r="281" ht="15" customHeight="1" s="21">
      <c r="A281" s="32" t="inlineStr">
        <is>
          <t>First 5K</t>
        </is>
      </c>
      <c r="B281" s="32" t="n">
        <v>5</v>
      </c>
      <c r="C281" s="32" t="n">
        <v>1</v>
      </c>
      <c r="D281" s="32" t="inlineStr">
        <is>
          <t>Easy</t>
        </is>
      </c>
      <c r="E281" s="32" t="inlineStr">
        <is>
          <t>auto</t>
        </is>
      </c>
      <c r="F281" s="32" t="inlineStr">
        <is>
          <t>2 x 10 min @ E effort, 90 s walk between</t>
        </is>
      </c>
      <c r="G281" s="32" t="n"/>
    </row>
    <row r="282" ht="15" customHeight="1" s="21">
      <c r="A282" s="32" t="inlineStr">
        <is>
          <t>First 5K</t>
        </is>
      </c>
      <c r="B282" s="32" t="n">
        <v>5</v>
      </c>
      <c r="C282" s="32" t="n">
        <v>2</v>
      </c>
      <c r="D282" s="32" t="inlineStr">
        <is>
          <t>Fartlek</t>
        </is>
      </c>
      <c r="E282" s="32" t="inlineStr">
        <is>
          <t>auto</t>
        </is>
      </c>
      <c r="F282" s="32" t="inlineStr">
        <is>
          <t>5 x (3 min @ E effort / 30 s @ 5K effort / 90 s walk)</t>
        </is>
      </c>
      <c r="G282" s="32" t="n"/>
    </row>
    <row r="283" ht="15" customHeight="1" s="21">
      <c r="A283" s="32" t="inlineStr">
        <is>
          <t>First 5K</t>
        </is>
      </c>
      <c r="B283" s="32" t="n">
        <v>5</v>
      </c>
      <c r="C283" s="32" t="n">
        <v>3</v>
      </c>
      <c r="D283" s="32" t="inlineStr">
        <is>
          <t>Long</t>
        </is>
      </c>
      <c r="E283" s="32" t="inlineStr">
        <is>
          <t>auto</t>
        </is>
      </c>
      <c r="F283" s="32" t="inlineStr">
        <is>
          <t>2 x 12 min @ E effort, 90 s walk between</t>
        </is>
      </c>
      <c r="G283" s="32" t="n"/>
    </row>
    <row r="284" ht="15" customHeight="1" s="21">
      <c r="A284" s="32" t="inlineStr">
        <is>
          <t>First 5K</t>
        </is>
      </c>
      <c r="B284" s="32" t="n">
        <v>6</v>
      </c>
      <c r="C284" s="32" t="n">
        <v>1</v>
      </c>
      <c r="D284" s="32" t="inlineStr">
        <is>
          <t>Easy</t>
        </is>
      </c>
      <c r="E284" s="32" t="inlineStr">
        <is>
          <t>auto</t>
        </is>
      </c>
      <c r="F284" s="32" t="inlineStr">
        <is>
          <t>2 x 12 min @ E effort, 90 s walk between</t>
        </is>
      </c>
      <c r="G284" s="32" t="n"/>
    </row>
    <row r="285" ht="15" customHeight="1" s="21">
      <c r="A285" s="32" t="inlineStr">
        <is>
          <t>First 5K</t>
        </is>
      </c>
      <c r="B285" s="32" t="n">
        <v>6</v>
      </c>
      <c r="C285" s="32" t="n">
        <v>2</v>
      </c>
      <c r="D285" s="32" t="inlineStr">
        <is>
          <t>Fartlek</t>
        </is>
      </c>
      <c r="E285" s="32" t="inlineStr">
        <is>
          <t>auto</t>
        </is>
      </c>
      <c r="F285" s="32" t="inlineStr">
        <is>
          <t>6 x (3 min @ E effort / 30 s @ 5K effort / 90 s walk)</t>
        </is>
      </c>
      <c r="G285" s="32" t="n"/>
    </row>
    <row r="286" ht="15" customHeight="1" s="21">
      <c r="A286" s="32" t="inlineStr">
        <is>
          <t>First 5K</t>
        </is>
      </c>
      <c r="B286" s="32" t="n">
        <v>6</v>
      </c>
      <c r="C286" s="32" t="n">
        <v>3</v>
      </c>
      <c r="D286" s="32" t="inlineStr">
        <is>
          <t>Long</t>
        </is>
      </c>
      <c r="E286" s="32" t="inlineStr">
        <is>
          <t>auto</t>
        </is>
      </c>
      <c r="F286" s="32" t="inlineStr">
        <is>
          <t>1 x 20 min @ E effort, 2 min walk between</t>
        </is>
      </c>
      <c r="G286" s="32" t="n"/>
    </row>
    <row r="287" ht="15" customHeight="1" s="21">
      <c r="A287" s="32" t="inlineStr">
        <is>
          <t>First 5K</t>
        </is>
      </c>
      <c r="B287" s="32" t="n">
        <v>7</v>
      </c>
      <c r="C287" s="32" t="n">
        <v>1</v>
      </c>
      <c r="D287" s="32" t="inlineStr">
        <is>
          <t>Easy</t>
        </is>
      </c>
      <c r="E287" s="32" t="inlineStr">
        <is>
          <t>auto</t>
        </is>
      </c>
      <c r="F287" s="32" t="inlineStr">
        <is>
          <t>1 x 20 min @ E effort, 2 min walk between</t>
        </is>
      </c>
      <c r="G287" s="32" t="n"/>
    </row>
    <row r="288" ht="15" customHeight="1" s="21">
      <c r="A288" s="32" t="inlineStr">
        <is>
          <t>First 5K</t>
        </is>
      </c>
      <c r="B288" s="32" t="n">
        <v>7</v>
      </c>
      <c r="C288" s="32" t="n">
        <v>2</v>
      </c>
      <c r="D288" s="32" t="inlineStr">
        <is>
          <t>Fartlek</t>
        </is>
      </c>
      <c r="E288" s="32" t="inlineStr">
        <is>
          <t>auto</t>
        </is>
      </c>
      <c r="F288" s="32" t="inlineStr">
        <is>
          <t>6 x (4 min @ E effort / 30 s @ 5K effort / 60 s walk)</t>
        </is>
      </c>
      <c r="G288" s="32" t="n"/>
    </row>
    <row r="289" ht="15" customHeight="1" s="21">
      <c r="A289" s="32" t="inlineStr">
        <is>
          <t>First 5K</t>
        </is>
      </c>
      <c r="B289" s="32" t="n">
        <v>7</v>
      </c>
      <c r="C289" s="32" t="n">
        <v>3</v>
      </c>
      <c r="D289" s="32" t="inlineStr">
        <is>
          <t>Long</t>
        </is>
      </c>
      <c r="E289" s="32" t="inlineStr">
        <is>
          <t>auto</t>
        </is>
      </c>
      <c r="F289" s="32" t="inlineStr">
        <is>
          <t>1 x 25 min @ E effort, 2 min walk between</t>
        </is>
      </c>
      <c r="G289" s="32" t="n"/>
    </row>
    <row r="290" ht="15" customHeight="1" s="21">
      <c r="A290" s="32" t="inlineStr">
        <is>
          <t>First 5K</t>
        </is>
      </c>
      <c r="B290" s="32" t="n">
        <v>8</v>
      </c>
      <c r="C290" s="32" t="n">
        <v>1</v>
      </c>
      <c r="D290" s="32" t="inlineStr">
        <is>
          <t>Easy</t>
        </is>
      </c>
      <c r="E290" s="32" t="inlineStr">
        <is>
          <t>auto</t>
        </is>
      </c>
      <c r="F290" s="32" t="inlineStr">
        <is>
          <t>1 x 15 min @ E effort, 2 min walk between</t>
        </is>
      </c>
      <c r="G290" s="32" t="n"/>
    </row>
    <row r="291" ht="15" customHeight="1" s="21">
      <c r="A291" s="32" t="inlineStr">
        <is>
          <t>First 5K</t>
        </is>
      </c>
      <c r="B291" s="32" t="n">
        <v>8</v>
      </c>
      <c r="C291" s="32" t="n">
        <v>2</v>
      </c>
      <c r="D291" s="32" t="inlineStr">
        <is>
          <t>Easy</t>
        </is>
      </c>
      <c r="E291" s="32" t="inlineStr">
        <is>
          <t>auto</t>
        </is>
      </c>
      <c r="F291" s="32" t="inlineStr">
        <is>
          <t>1 x 10 min @ E effort, 2 min walk between</t>
        </is>
      </c>
      <c r="G291" s="32" t="n"/>
    </row>
    <row r="292" ht="15" customHeight="1" s="21">
      <c r="A292" s="32" t="inlineStr">
        <is>
          <t>First 5K</t>
        </is>
      </c>
      <c r="B292" s="32" t="n">
        <v>8</v>
      </c>
      <c r="C292" s="32" t="n">
        <v>3</v>
      </c>
      <c r="D292" s="32" t="inlineStr">
        <is>
          <t>Race</t>
        </is>
      </c>
      <c r="E292" s="32" t="inlineStr">
        <is>
          <t>auto</t>
        </is>
      </c>
      <c r="F292" s="32" t="inlineStr">
        <is>
          <t>5K – run it comfortably and finish strong</t>
        </is>
      </c>
      <c r="G292" s="32" t="n"/>
    </row>
    <row r="293" ht="15" customHeight="1" s="21">
      <c r="A293" s="32" t="n"/>
      <c r="B293" s="32" t="n"/>
      <c r="C293" s="32" t="n"/>
      <c r="D293" s="32" t="n"/>
      <c r="E293" s="32" t="n"/>
      <c r="F293" s="32" t="n"/>
      <c r="G293" s="32" t="n"/>
    </row>
    <row r="294" ht="15" customHeight="1" s="21">
      <c r="A294" s="32" t="n"/>
      <c r="B294" s="32" t="n"/>
      <c r="C294" s="32" t="n"/>
      <c r="D294" s="32" t="n"/>
      <c r="E294" s="32" t="n"/>
      <c r="F294" s="32" t="n"/>
      <c r="G294" s="32" t="n"/>
    </row>
    <row r="295" ht="15" customHeight="1" s="21">
      <c r="A295" s="32" t="n"/>
      <c r="B295" s="32" t="n"/>
      <c r="C295" s="32" t="n"/>
      <c r="D295" s="32" t="n"/>
      <c r="E295" s="32" t="n"/>
      <c r="F295" s="32" t="n"/>
      <c r="G295" s="32" t="n"/>
    </row>
    <row r="296" ht="15" customHeight="1" s="21">
      <c r="A296" s="32" t="n"/>
      <c r="B296" s="32" t="n"/>
      <c r="C296" s="32" t="n"/>
      <c r="D296" s="32" t="n"/>
      <c r="E296" s="32" t="n"/>
      <c r="F296" s="32" t="n"/>
      <c r="G296" s="32" t="n"/>
    </row>
    <row r="297" ht="15" customHeight="1" s="21">
      <c r="A297" s="32" t="n"/>
      <c r="B297" s="32" t="n"/>
      <c r="C297" s="32" t="n"/>
      <c r="D297" s="32" t="n"/>
      <c r="E297" s="32" t="n"/>
      <c r="F297" s="32" t="n"/>
      <c r="G297" s="32" t="n"/>
    </row>
    <row r="298" ht="15" customHeight="1" s="21">
      <c r="A298" s="32" t="n"/>
      <c r="B298" s="32" t="n"/>
      <c r="C298" s="32" t="n"/>
      <c r="D298" s="32" t="n"/>
      <c r="E298" s="32" t="n"/>
      <c r="F298" s="32" t="n"/>
      <c r="G298" s="32" t="n"/>
    </row>
    <row r="299" ht="15" customHeight="1" s="21">
      <c r="A299" s="32" t="n"/>
      <c r="B299" s="32" t="n"/>
      <c r="C299" s="32" t="n"/>
      <c r="D299" s="32" t="n"/>
      <c r="E299" s="32" t="n"/>
      <c r="F299" s="32" t="n"/>
      <c r="G299" s="32" t="n"/>
    </row>
    <row r="300" ht="15" customHeight="1" s="21">
      <c r="A300" s="32" t="n"/>
      <c r="B300" s="32" t="n"/>
      <c r="C300" s="32" t="n"/>
      <c r="D300" s="32" t="n"/>
      <c r="E300" s="32" t="n"/>
      <c r="F300" s="32" t="n"/>
      <c r="G300" s="32" t="n"/>
    </row>
    <row r="301" ht="15" customHeight="1" s="21">
      <c r="A301" s="32" t="n"/>
      <c r="B301" s="32" t="n"/>
      <c r="C301" s="32" t="n"/>
      <c r="D301" s="32" t="n"/>
      <c r="E301" s="32" t="n"/>
      <c r="F301" s="32" t="n"/>
      <c r="G301" s="32" t="n"/>
    </row>
    <row r="302" ht="15" customHeight="1" s="21">
      <c r="A302" s="32" t="n"/>
      <c r="B302" s="32" t="n"/>
      <c r="C302" s="32" t="n"/>
      <c r="D302" s="32" t="n"/>
      <c r="E302" s="32" t="n"/>
      <c r="F302" s="32" t="n"/>
      <c r="G302" s="32" t="n"/>
    </row>
    <row r="303" ht="15" customHeight="1" s="21">
      <c r="A303" s="32" t="n"/>
      <c r="B303" s="32" t="n"/>
      <c r="C303" s="32" t="n"/>
      <c r="D303" s="32" t="n"/>
      <c r="E303" s="32" t="n"/>
      <c r="F303" s="32" t="n"/>
      <c r="G303" s="32" t="n"/>
    </row>
    <row r="304" ht="15" customHeight="1" s="21">
      <c r="A304" s="32" t="n"/>
      <c r="B304" s="32" t="n"/>
      <c r="C304" s="32" t="n"/>
      <c r="D304" s="32" t="n"/>
      <c r="E304" s="32" t="n"/>
      <c r="F304" s="32" t="n"/>
      <c r="G304" s="32" t="n"/>
    </row>
    <row r="305" ht="15" customHeight="1" s="21">
      <c r="A305" s="32" t="n"/>
      <c r="B305" s="32" t="n"/>
      <c r="C305" s="32" t="n"/>
      <c r="D305" s="32" t="n"/>
      <c r="E305" s="32" t="n"/>
      <c r="F305" s="32" t="n"/>
      <c r="G305" s="32" t="n"/>
    </row>
    <row r="306" ht="15" customHeight="1" s="21">
      <c r="A306" s="32" t="n"/>
      <c r="B306" s="32" t="n"/>
      <c r="C306" s="32" t="n"/>
      <c r="D306" s="32" t="n"/>
      <c r="E306" s="32" t="n"/>
      <c r="F306" s="32" t="n"/>
      <c r="G306" s="32" t="n"/>
    </row>
    <row r="307" ht="15" customHeight="1" s="21">
      <c r="A307" s="32" t="n"/>
      <c r="B307" s="32" t="n"/>
      <c r="C307" s="32" t="n"/>
      <c r="D307" s="32" t="n"/>
      <c r="E307" s="32" t="n"/>
      <c r="F307" s="32" t="n"/>
      <c r="G307" s="32" t="n"/>
    </row>
    <row r="308" ht="15" customHeight="1" s="21">
      <c r="A308" s="32" t="n"/>
      <c r="B308" s="32" t="n"/>
      <c r="C308" s="32" t="n"/>
      <c r="D308" s="32" t="n"/>
      <c r="E308" s="32" t="n"/>
      <c r="F308" s="32" t="n"/>
      <c r="G308" s="32" t="n"/>
    </row>
    <row r="309" ht="15" customHeight="1" s="21">
      <c r="A309" s="32" t="n"/>
      <c r="B309" s="32" t="n"/>
      <c r="C309" s="32" t="n"/>
      <c r="D309" s="32" t="n"/>
      <c r="E309" s="32" t="n"/>
      <c r="F309" s="32" t="n"/>
      <c r="G309" s="32" t="n"/>
    </row>
    <row r="310" ht="15" customHeight="1" s="21">
      <c r="A310" s="32" t="n"/>
      <c r="B310" s="32" t="n"/>
      <c r="C310" s="32" t="n"/>
      <c r="D310" s="32" t="n"/>
      <c r="E310" s="32" t="n"/>
      <c r="F310" s="32" t="n"/>
      <c r="G310" s="32" t="n"/>
    </row>
    <row r="311" ht="15" customHeight="1" s="21">
      <c r="A311" s="32" t="n"/>
      <c r="B311" s="32" t="n"/>
      <c r="C311" s="32" t="n"/>
      <c r="D311" s="32" t="n"/>
      <c r="E311" s="32" t="n"/>
      <c r="F311" s="32" t="n"/>
      <c r="G311" s="32" t="n"/>
    </row>
    <row r="312" ht="15" customHeight="1" s="21">
      <c r="A312" s="32" t="n"/>
      <c r="B312" s="32" t="n"/>
      <c r="C312" s="32" t="n"/>
      <c r="D312" s="32" t="n"/>
      <c r="E312" s="32" t="n"/>
      <c r="F312" s="32" t="n"/>
      <c r="G312" s="32" t="n"/>
    </row>
    <row r="313" ht="15" customHeight="1" s="21">
      <c r="A313" s="32" t="n"/>
      <c r="B313" s="32" t="n"/>
      <c r="C313" s="32" t="n"/>
      <c r="D313" s="32" t="n"/>
      <c r="E313" s="32" t="n"/>
      <c r="F313" s="32" t="n"/>
      <c r="G313" s="32" t="n"/>
    </row>
    <row r="314" ht="15" customHeight="1" s="21">
      <c r="A314" s="32" t="n"/>
      <c r="B314" s="32" t="n"/>
      <c r="C314" s="32" t="n"/>
      <c r="D314" s="32" t="n"/>
      <c r="E314" s="32" t="n"/>
      <c r="F314" s="32" t="n"/>
      <c r="G314" s="32" t="n"/>
    </row>
    <row r="315" ht="15" customHeight="1" s="21">
      <c r="A315" s="32" t="n"/>
      <c r="B315" s="32" t="n"/>
      <c r="C315" s="32" t="n"/>
      <c r="D315" s="32" t="n"/>
      <c r="E315" s="32" t="n"/>
      <c r="F315" s="32" t="n"/>
      <c r="G315" s="32" t="n"/>
    </row>
    <row r="316" ht="15" customHeight="1" s="21">
      <c r="A316" s="32" t="n"/>
      <c r="B316" s="32" t="n"/>
      <c r="C316" s="32" t="n"/>
      <c r="D316" s="32" t="n"/>
      <c r="E316" s="32" t="n"/>
      <c r="F316" s="32" t="n"/>
      <c r="G316" s="32" t="n"/>
    </row>
    <row r="317" ht="15" customHeight="1" s="21">
      <c r="A317" s="32" t="n"/>
      <c r="B317" s="32" t="n"/>
      <c r="C317" s="32" t="n"/>
      <c r="D317" s="32" t="n"/>
      <c r="E317" s="32" t="n"/>
      <c r="F317" s="32" t="n"/>
      <c r="G317" s="32" t="n"/>
    </row>
    <row r="318" ht="15" customHeight="1" s="21">
      <c r="A318" s="32" t="n"/>
      <c r="B318" s="32" t="n"/>
      <c r="C318" s="32" t="n"/>
      <c r="D318" s="32" t="n"/>
      <c r="E318" s="32" t="n"/>
      <c r="F318" s="32" t="n"/>
      <c r="G318" s="32" t="n"/>
    </row>
    <row r="319" ht="15" customHeight="1" s="21">
      <c r="A319" s="32" t="n"/>
      <c r="B319" s="32" t="n"/>
      <c r="C319" s="32" t="n"/>
      <c r="D319" s="32" t="n"/>
      <c r="E319" s="32" t="n"/>
      <c r="F319" s="32" t="n"/>
      <c r="G319" s="32" t="n"/>
    </row>
    <row r="320" ht="15" customHeight="1" s="21">
      <c r="A320" s="32" t="n"/>
      <c r="B320" s="32" t="n"/>
      <c r="C320" s="32" t="n"/>
      <c r="D320" s="32" t="n"/>
      <c r="E320" s="32" t="n"/>
      <c r="F320" s="32" t="n"/>
      <c r="G320" s="32" t="n"/>
    </row>
    <row r="321" ht="15" customHeight="1" s="21">
      <c r="A321" s="32" t="n"/>
      <c r="B321" s="32" t="n"/>
      <c r="C321" s="32" t="n"/>
      <c r="D321" s="32" t="n"/>
      <c r="E321" s="32" t="n"/>
      <c r="F321" s="32" t="n"/>
      <c r="G321" s="32" t="n"/>
    </row>
    <row r="322" ht="15" customHeight="1" s="21">
      <c r="A322" s="32" t="n"/>
      <c r="B322" s="32" t="n"/>
      <c r="C322" s="32" t="n"/>
      <c r="D322" s="32" t="n"/>
      <c r="E322" s="32" t="n"/>
      <c r="F322" s="32" t="n"/>
      <c r="G322" s="32" t="n"/>
    </row>
    <row r="323" ht="15" customHeight="1" s="21">
      <c r="A323" s="32" t="n"/>
      <c r="B323" s="32" t="n"/>
      <c r="C323" s="32" t="n"/>
      <c r="D323" s="32" t="n"/>
      <c r="E323" s="32" t="n"/>
      <c r="F323" s="32" t="n"/>
      <c r="G323" s="32" t="n"/>
    </row>
    <row r="324" ht="15" customHeight="1" s="21">
      <c r="A324" s="32" t="n"/>
      <c r="B324" s="32" t="n"/>
      <c r="C324" s="32" t="n"/>
      <c r="D324" s="32" t="n"/>
      <c r="E324" s="32" t="n"/>
      <c r="F324" s="32" t="n"/>
      <c r="G324" s="32" t="n"/>
    </row>
    <row r="325" ht="15" customHeight="1" s="21">
      <c r="A325" s="32" t="n"/>
      <c r="B325" s="32" t="n"/>
      <c r="C325" s="32" t="n"/>
      <c r="D325" s="32" t="n"/>
      <c r="E325" s="32" t="n"/>
      <c r="F325" s="32" t="n"/>
      <c r="G325" s="32" t="n"/>
    </row>
    <row r="326" ht="15" customHeight="1" s="21">
      <c r="A326" s="32" t="n"/>
      <c r="B326" s="32" t="n"/>
      <c r="C326" s="32" t="n"/>
      <c r="D326" s="32" t="n"/>
      <c r="E326" s="32" t="n"/>
      <c r="F326" s="32" t="n"/>
      <c r="G326" s="32" t="n"/>
    </row>
    <row r="327" ht="15" customHeight="1" s="21">
      <c r="A327" s="32" t="n"/>
      <c r="B327" s="32" t="n"/>
      <c r="C327" s="32" t="n"/>
      <c r="D327" s="32" t="n"/>
      <c r="E327" s="32" t="n"/>
      <c r="F327" s="32" t="n"/>
      <c r="G327" s="32" t="n"/>
    </row>
    <row r="328" ht="15" customHeight="1" s="21">
      <c r="A328" s="32" t="n"/>
      <c r="B328" s="32" t="n"/>
      <c r="C328" s="32" t="n"/>
      <c r="D328" s="32" t="n"/>
      <c r="E328" s="32" t="n"/>
      <c r="F328" s="32" t="n"/>
      <c r="G328" s="32" t="n"/>
    </row>
    <row r="329" ht="15" customHeight="1" s="21">
      <c r="A329" s="32" t="n"/>
      <c r="B329" s="32" t="n"/>
      <c r="C329" s="32" t="n"/>
      <c r="D329" s="32" t="n"/>
      <c r="E329" s="32" t="n"/>
      <c r="F329" s="32" t="n"/>
      <c r="G329" s="32" t="n"/>
    </row>
    <row r="330" ht="15" customHeight="1" s="21">
      <c r="A330" s="32" t="n"/>
      <c r="B330" s="32" t="n"/>
      <c r="C330" s="32" t="n"/>
      <c r="D330" s="32" t="n"/>
      <c r="E330" s="32" t="n"/>
      <c r="F330" s="32" t="n"/>
      <c r="G330" s="32" t="n"/>
    </row>
    <row r="331" ht="15" customHeight="1" s="21">
      <c r="A331" s="32" t="n"/>
      <c r="B331" s="32" t="n"/>
      <c r="C331" s="32" t="n"/>
      <c r="D331" s="32" t="n"/>
      <c r="E331" s="32" t="n"/>
      <c r="F331" s="32" t="n"/>
      <c r="G331" s="32" t="n"/>
    </row>
    <row r="332" ht="15" customHeight="1" s="21">
      <c r="A332" s="32" t="n"/>
      <c r="B332" s="32" t="n"/>
      <c r="C332" s="32" t="n"/>
      <c r="D332" s="32" t="n"/>
      <c r="E332" s="32" t="n"/>
      <c r="F332" s="32" t="n"/>
      <c r="G332" s="32" t="n"/>
    </row>
    <row r="333" ht="15" customHeight="1" s="21">
      <c r="A333" s="32" t="n"/>
      <c r="B333" s="32" t="n"/>
      <c r="C333" s="32" t="n"/>
      <c r="D333" s="32" t="n"/>
      <c r="E333" s="32" t="n"/>
      <c r="F333" s="32" t="n"/>
      <c r="G333" s="32" t="n"/>
    </row>
    <row r="334" ht="15" customHeight="1" s="21">
      <c r="A334" s="32" t="n"/>
      <c r="B334" s="32" t="n"/>
      <c r="C334" s="32" t="n"/>
      <c r="D334" s="32" t="n"/>
      <c r="E334" s="32" t="n"/>
      <c r="F334" s="32" t="n"/>
      <c r="G334" s="32" t="n"/>
    </row>
    <row r="335" ht="15" customHeight="1" s="21">
      <c r="A335" s="32" t="n"/>
      <c r="B335" s="32" t="n"/>
      <c r="C335" s="32" t="n"/>
      <c r="D335" s="32" t="n"/>
      <c r="E335" s="32" t="n"/>
      <c r="F335" s="32" t="n"/>
      <c r="G335" s="32" t="n"/>
    </row>
    <row r="336" ht="15" customHeight="1" s="21">
      <c r="A336" s="32" t="n"/>
      <c r="B336" s="32" t="n"/>
      <c r="C336" s="32" t="n"/>
      <c r="D336" s="32" t="n"/>
      <c r="E336" s="32" t="n"/>
      <c r="F336" s="32" t="n"/>
      <c r="G336" s="32" t="n"/>
    </row>
    <row r="337" ht="15" customHeight="1" s="21">
      <c r="A337" s="32" t="n"/>
      <c r="B337" s="32" t="n"/>
      <c r="C337" s="32" t="n"/>
      <c r="D337" s="32" t="n"/>
      <c r="E337" s="32" t="n"/>
      <c r="F337" s="32" t="n"/>
      <c r="G337" s="32" t="n"/>
    </row>
    <row r="338" ht="15" customHeight="1" s="21">
      <c r="A338" s="32" t="n"/>
      <c r="B338" s="32" t="n"/>
      <c r="C338" s="32" t="n"/>
      <c r="D338" s="32" t="n"/>
      <c r="E338" s="32" t="n"/>
      <c r="F338" s="32" t="n"/>
      <c r="G338" s="32" t="n"/>
    </row>
    <row r="339" ht="15" customHeight="1" s="21">
      <c r="A339" s="32" t="n"/>
      <c r="B339" s="32" t="n"/>
      <c r="C339" s="32" t="n"/>
      <c r="D339" s="32" t="n"/>
      <c r="E339" s="32" t="n"/>
      <c r="F339" s="32" t="n"/>
      <c r="G339" s="32" t="n"/>
    </row>
    <row r="340" ht="15" customHeight="1" s="21">
      <c r="A340" s="32" t="n"/>
      <c r="B340" s="32" t="n"/>
      <c r="C340" s="32" t="n"/>
      <c r="D340" s="32" t="n"/>
      <c r="E340" s="32" t="n"/>
      <c r="F340" s="32" t="n"/>
      <c r="G340" s="32" t="n"/>
    </row>
    <row r="341" ht="15" customHeight="1" s="21">
      <c r="A341" s="32" t="n"/>
      <c r="B341" s="32" t="n"/>
      <c r="C341" s="32" t="n"/>
      <c r="D341" s="32" t="n"/>
      <c r="E341" s="32" t="n"/>
      <c r="F341" s="32" t="n"/>
      <c r="G341" s="32" t="n"/>
    </row>
    <row r="342" ht="15" customHeight="1" s="21">
      <c r="A342" s="32" t="n"/>
      <c r="B342" s="32" t="n"/>
      <c r="C342" s="32" t="n"/>
      <c r="D342" s="32" t="n"/>
      <c r="E342" s="32" t="n"/>
      <c r="F342" s="32" t="n"/>
      <c r="G342" s="32" t="n"/>
    </row>
    <row r="343" ht="15" customHeight="1" s="21">
      <c r="A343" s="32" t="n"/>
      <c r="B343" s="32" t="n"/>
      <c r="C343" s="32" t="n"/>
      <c r="D343" s="32" t="n"/>
      <c r="E343" s="32" t="n"/>
      <c r="F343" s="32" t="n"/>
      <c r="G343" s="32" t="n"/>
    </row>
    <row r="344" ht="15" customHeight="1" s="21">
      <c r="A344" s="32" t="n"/>
      <c r="B344" s="32" t="n"/>
      <c r="C344" s="32" t="n"/>
      <c r="D344" s="32" t="n"/>
      <c r="E344" s="32" t="n"/>
      <c r="F344" s="32" t="n"/>
      <c r="G344" s="32" t="n"/>
    </row>
    <row r="345" ht="15" customHeight="1" s="21">
      <c r="A345" s="32" t="n"/>
      <c r="B345" s="32" t="n"/>
      <c r="C345" s="32" t="n"/>
      <c r="D345" s="32" t="n"/>
      <c r="E345" s="32" t="n"/>
      <c r="F345" s="32" t="n"/>
      <c r="G345" s="32" t="n"/>
    </row>
    <row r="346" ht="15" customHeight="1" s="21">
      <c r="A346" s="32" t="n"/>
      <c r="B346" s="32" t="n"/>
      <c r="C346" s="32" t="n"/>
      <c r="D346" s="32" t="n"/>
      <c r="E346" s="32" t="n"/>
      <c r="F346" s="32" t="n"/>
      <c r="G346" s="32" t="n"/>
    </row>
    <row r="347" ht="15" customHeight="1" s="21">
      <c r="A347" s="32" t="n"/>
      <c r="B347" s="32" t="n"/>
      <c r="C347" s="32" t="n"/>
      <c r="D347" s="32" t="n"/>
      <c r="E347" s="32" t="n"/>
      <c r="F347" s="32" t="n"/>
      <c r="G347" s="32" t="n"/>
    </row>
    <row r="348" ht="15" customHeight="1" s="21">
      <c r="A348" s="32" t="n"/>
      <c r="B348" s="32" t="n"/>
      <c r="C348" s="32" t="n"/>
      <c r="D348" s="32" t="n"/>
      <c r="E348" s="32" t="n"/>
      <c r="F348" s="32" t="n"/>
      <c r="G348" s="32" t="n"/>
    </row>
    <row r="349" ht="15" customHeight="1" s="21">
      <c r="A349" s="32" t="n"/>
      <c r="B349" s="32" t="n"/>
      <c r="C349" s="32" t="n"/>
      <c r="D349" s="32" t="n"/>
      <c r="E349" s="32" t="n"/>
      <c r="F349" s="32" t="n"/>
      <c r="G349" s="32" t="n"/>
    </row>
    <row r="350" ht="15" customHeight="1" s="21">
      <c r="A350" s="32" t="n"/>
      <c r="B350" s="32" t="n"/>
      <c r="C350" s="32" t="n"/>
      <c r="D350" s="32" t="n"/>
      <c r="E350" s="32" t="n"/>
      <c r="F350" s="32" t="n"/>
      <c r="G350" s="32" t="n"/>
    </row>
    <row r="351" ht="15" customHeight="1" s="21">
      <c r="A351" s="32" t="n"/>
      <c r="B351" s="32" t="n"/>
      <c r="C351" s="32" t="n"/>
      <c r="D351" s="32" t="n"/>
      <c r="E351" s="32" t="n"/>
      <c r="F351" s="32" t="n"/>
      <c r="G351" s="32" t="n"/>
    </row>
    <row r="352" ht="15" customHeight="1" s="21">
      <c r="A352" s="32" t="n"/>
      <c r="B352" s="32" t="n"/>
      <c r="C352" s="32" t="n"/>
      <c r="D352" s="32" t="n"/>
      <c r="E352" s="32" t="n"/>
      <c r="F352" s="32" t="n"/>
      <c r="G352" s="32" t="n"/>
    </row>
    <row r="353" ht="15" customHeight="1" s="21">
      <c r="A353" s="32" t="n"/>
      <c r="B353" s="32" t="n"/>
      <c r="C353" s="32" t="n"/>
      <c r="D353" s="32" t="n"/>
      <c r="E353" s="32" t="n"/>
      <c r="F353" s="32" t="n"/>
      <c r="G353" s="32" t="n"/>
    </row>
    <row r="354" ht="15" customHeight="1" s="21">
      <c r="A354" s="32" t="n"/>
      <c r="B354" s="32" t="n"/>
      <c r="C354" s="32" t="n"/>
      <c r="D354" s="32" t="n"/>
      <c r="E354" s="32" t="n"/>
      <c r="F354" s="32" t="n"/>
      <c r="G354" s="32" t="n"/>
    </row>
    <row r="355" ht="15" customHeight="1" s="21">
      <c r="A355" s="32" t="n"/>
      <c r="B355" s="32" t="n"/>
      <c r="C355" s="32" t="n"/>
      <c r="D355" s="32" t="n"/>
      <c r="E355" s="32" t="n"/>
      <c r="F355" s="32" t="n"/>
      <c r="G355" s="32" t="n"/>
    </row>
    <row r="356" ht="15" customHeight="1" s="21">
      <c r="A356" s="32" t="n"/>
      <c r="B356" s="32" t="n"/>
      <c r="C356" s="32" t="n"/>
      <c r="D356" s="32" t="n"/>
      <c r="E356" s="32" t="n"/>
      <c r="F356" s="32" t="n"/>
      <c r="G356" s="32" t="n"/>
    </row>
    <row r="357" ht="15" customHeight="1" s="21">
      <c r="A357" s="32" t="n"/>
      <c r="B357" s="32" t="n"/>
      <c r="C357" s="32" t="n"/>
      <c r="D357" s="32" t="n"/>
      <c r="E357" s="32" t="n"/>
      <c r="F357" s="32" t="n"/>
      <c r="G357" s="32" t="n"/>
    </row>
    <row r="358" ht="15" customHeight="1" s="21">
      <c r="A358" s="32" t="n"/>
      <c r="B358" s="32" t="n"/>
      <c r="C358" s="32" t="n"/>
      <c r="D358" s="32" t="n"/>
      <c r="E358" s="32" t="n"/>
      <c r="F358" s="32" t="n"/>
      <c r="G358" s="32" t="n"/>
    </row>
    <row r="359" ht="15" customHeight="1" s="21">
      <c r="A359" s="32" t="n"/>
      <c r="B359" s="32" t="n"/>
      <c r="C359" s="32" t="n"/>
      <c r="D359" s="32" t="n"/>
      <c r="E359" s="32" t="n"/>
      <c r="F359" s="32" t="n"/>
      <c r="G359" s="32" t="n"/>
    </row>
    <row r="360" ht="15" customHeight="1" s="21">
      <c r="A360" s="32" t="n"/>
      <c r="B360" s="32" t="n"/>
      <c r="C360" s="32" t="n"/>
      <c r="D360" s="32" t="n"/>
      <c r="E360" s="32" t="n"/>
      <c r="F360" s="32" t="n"/>
      <c r="G360" s="32" t="n"/>
    </row>
    <row r="361" ht="15" customHeight="1" s="21">
      <c r="A361" s="32" t="n"/>
      <c r="B361" s="32" t="n"/>
      <c r="C361" s="32" t="n"/>
      <c r="D361" s="32" t="n"/>
      <c r="E361" s="32" t="n"/>
      <c r="F361" s="32" t="n"/>
      <c r="G361" s="32" t="n"/>
    </row>
    <row r="362" ht="15" customHeight="1" s="21">
      <c r="A362" s="32" t="n"/>
      <c r="B362" s="32" t="n"/>
      <c r="C362" s="32" t="n"/>
      <c r="D362" s="32" t="n"/>
      <c r="E362" s="32" t="n"/>
      <c r="F362" s="32" t="n"/>
      <c r="G362" s="32" t="n"/>
    </row>
    <row r="363" ht="15" customHeight="1" s="21">
      <c r="A363" s="32" t="n"/>
      <c r="B363" s="32" t="n"/>
      <c r="C363" s="32" t="n"/>
      <c r="D363" s="32" t="n"/>
      <c r="E363" s="32" t="n"/>
      <c r="F363" s="32" t="n"/>
      <c r="G363" s="32" t="n"/>
    </row>
    <row r="364" ht="15" customHeight="1" s="21">
      <c r="A364" s="32" t="n"/>
      <c r="B364" s="32" t="n"/>
      <c r="C364" s="32" t="n"/>
      <c r="D364" s="32" t="n"/>
      <c r="E364" s="32" t="n"/>
      <c r="F364" s="32" t="n"/>
      <c r="G364" s="32" t="n"/>
    </row>
    <row r="365" ht="15" customHeight="1" s="21">
      <c r="A365" s="32" t="n"/>
      <c r="B365" s="32" t="n"/>
      <c r="C365" s="32" t="n"/>
      <c r="D365" s="32" t="n"/>
      <c r="E365" s="32" t="n"/>
      <c r="F365" s="32" t="n"/>
      <c r="G365" s="32" t="n"/>
    </row>
    <row r="366" ht="15" customHeight="1" s="21">
      <c r="A366" s="32" t="n"/>
      <c r="B366" s="32" t="n"/>
      <c r="C366" s="32" t="n"/>
      <c r="D366" s="32" t="n"/>
      <c r="E366" s="32" t="n"/>
      <c r="F366" s="32" t="n"/>
      <c r="G366" s="32" t="n"/>
    </row>
    <row r="367" ht="15" customHeight="1" s="21">
      <c r="A367" s="32" t="n"/>
      <c r="B367" s="32" t="n"/>
      <c r="C367" s="32" t="n"/>
      <c r="D367" s="32" t="n"/>
      <c r="E367" s="32" t="n"/>
      <c r="F367" s="32" t="n"/>
      <c r="G367" s="32" t="n"/>
    </row>
    <row r="368" ht="15" customHeight="1" s="21">
      <c r="A368" s="32" t="n"/>
      <c r="B368" s="32" t="n"/>
      <c r="C368" s="32" t="n"/>
      <c r="D368" s="32" t="n"/>
      <c r="E368" s="32" t="n"/>
      <c r="F368" s="32" t="n"/>
      <c r="G368" s="32" t="n"/>
    </row>
    <row r="369" ht="15" customHeight="1" s="21">
      <c r="A369" s="32" t="n"/>
      <c r="B369" s="32" t="n"/>
      <c r="C369" s="32" t="n"/>
      <c r="D369" s="32" t="n"/>
      <c r="E369" s="32" t="n"/>
      <c r="F369" s="32" t="n"/>
      <c r="G369" s="32" t="n"/>
    </row>
    <row r="370" ht="15" customHeight="1" s="21">
      <c r="A370" s="32" t="n"/>
      <c r="B370" s="32" t="n"/>
      <c r="C370" s="32" t="n"/>
      <c r="D370" s="32" t="n"/>
      <c r="E370" s="32" t="n"/>
      <c r="F370" s="32" t="n"/>
      <c r="G370" s="32" t="n"/>
    </row>
    <row r="371" ht="15" customHeight="1" s="21">
      <c r="A371" s="32" t="n"/>
      <c r="B371" s="32" t="n"/>
      <c r="C371" s="32" t="n"/>
      <c r="D371" s="32" t="n"/>
      <c r="E371" s="32" t="n"/>
      <c r="F371" s="32" t="n"/>
      <c r="G371" s="32" t="n"/>
    </row>
    <row r="372" ht="15" customHeight="1" s="21">
      <c r="A372" s="32" t="n"/>
      <c r="B372" s="32" t="n"/>
      <c r="C372" s="32" t="n"/>
      <c r="D372" s="32" t="n"/>
      <c r="E372" s="32" t="n"/>
      <c r="F372" s="32" t="n"/>
      <c r="G372" s="32" t="n"/>
    </row>
    <row r="373" ht="15" customHeight="1" s="21">
      <c r="A373" s="32" t="n"/>
      <c r="B373" s="32" t="n"/>
      <c r="C373" s="32" t="n"/>
      <c r="D373" s="32" t="n"/>
      <c r="E373" s="32" t="n"/>
      <c r="F373" s="32" t="n"/>
      <c r="G373" s="32" t="n"/>
    </row>
    <row r="374" ht="15" customHeight="1" s="21">
      <c r="A374" s="32" t="n"/>
      <c r="B374" s="32" t="n"/>
      <c r="C374" s="32" t="n"/>
      <c r="D374" s="32" t="n"/>
      <c r="E374" s="32" t="n"/>
      <c r="F374" s="32" t="n"/>
      <c r="G374" s="32" t="n"/>
    </row>
    <row r="375" ht="15" customHeight="1" s="21">
      <c r="A375" s="32" t="n"/>
      <c r="B375" s="32" t="n"/>
      <c r="C375" s="32" t="n"/>
      <c r="D375" s="32" t="n"/>
      <c r="E375" s="32" t="n"/>
      <c r="F375" s="32" t="n"/>
      <c r="G375" s="32" t="n"/>
    </row>
    <row r="376" ht="15" customHeight="1" s="21">
      <c r="A376" s="32" t="n"/>
      <c r="B376" s="32" t="n"/>
      <c r="C376" s="32" t="n"/>
      <c r="D376" s="32" t="n"/>
      <c r="E376" s="32" t="n"/>
      <c r="F376" s="32" t="n"/>
      <c r="G376" s="32" t="n"/>
    </row>
    <row r="377" ht="15" customHeight="1" s="21">
      <c r="A377" s="32" t="n"/>
      <c r="B377" s="32" t="n"/>
      <c r="C377" s="32" t="n"/>
      <c r="D377" s="32" t="n"/>
      <c r="E377" s="32" t="n"/>
      <c r="F377" s="32" t="n"/>
      <c r="G377" s="32" t="n"/>
    </row>
    <row r="378" ht="15" customHeight="1" s="21">
      <c r="A378" s="32" t="n"/>
      <c r="B378" s="32" t="n"/>
      <c r="C378" s="32" t="n"/>
      <c r="D378" s="32" t="n"/>
      <c r="E378" s="32" t="n"/>
      <c r="F378" s="32" t="n"/>
      <c r="G378" s="32" t="n"/>
    </row>
    <row r="379" ht="15" customHeight="1" s="21">
      <c r="A379" s="32" t="n"/>
      <c r="B379" s="32" t="n"/>
      <c r="C379" s="32" t="n"/>
      <c r="D379" s="32" t="n"/>
      <c r="E379" s="32" t="n"/>
      <c r="F379" s="32" t="n"/>
      <c r="G379" s="32" t="n"/>
    </row>
    <row r="380" ht="15" customHeight="1" s="21">
      <c r="A380" s="32" t="n"/>
      <c r="B380" s="32" t="n"/>
      <c r="C380" s="32" t="n"/>
      <c r="D380" s="32" t="n"/>
      <c r="E380" s="32" t="n"/>
      <c r="F380" s="32" t="n"/>
      <c r="G380" s="32" t="n"/>
    </row>
    <row r="381" ht="15" customHeight="1" s="21">
      <c r="A381" s="32" t="n"/>
      <c r="B381" s="32" t="n"/>
      <c r="C381" s="32" t="n"/>
      <c r="D381" s="32" t="n"/>
      <c r="E381" s="32" t="n"/>
      <c r="F381" s="32" t="n"/>
      <c r="G381" s="32" t="n"/>
    </row>
    <row r="382" ht="15" customHeight="1" s="21">
      <c r="A382" s="32" t="n"/>
      <c r="B382" s="32" t="n"/>
      <c r="C382" s="32" t="n"/>
      <c r="D382" s="32" t="n"/>
      <c r="E382" s="32" t="n"/>
      <c r="F382" s="32" t="n"/>
      <c r="G382" s="32" t="n"/>
    </row>
    <row r="383" ht="15" customHeight="1" s="21">
      <c r="A383" s="32" t="n"/>
      <c r="B383" s="32" t="n"/>
      <c r="C383" s="32" t="n"/>
      <c r="D383" s="32" t="n"/>
      <c r="E383" s="32" t="n"/>
      <c r="F383" s="32" t="n"/>
      <c r="G383" s="32" t="n"/>
    </row>
    <row r="384" ht="15" customHeight="1" s="21">
      <c r="A384" s="32" t="n"/>
      <c r="B384" s="32" t="n"/>
      <c r="C384" s="32" t="n"/>
      <c r="D384" s="32" t="n"/>
      <c r="E384" s="32" t="n"/>
      <c r="F384" s="32" t="n"/>
      <c r="G384" s="32" t="n"/>
    </row>
    <row r="385" ht="15" customHeight="1" s="21">
      <c r="A385" s="32" t="n"/>
      <c r="B385" s="32" t="n"/>
      <c r="C385" s="32" t="n"/>
      <c r="D385" s="32" t="n"/>
      <c r="E385" s="32" t="n"/>
      <c r="F385" s="32" t="n"/>
      <c r="G385" s="32" t="n"/>
    </row>
    <row r="386" ht="15" customHeight="1" s="21">
      <c r="A386" s="32" t="n"/>
      <c r="B386" s="32" t="n"/>
      <c r="C386" s="32" t="n"/>
      <c r="D386" s="32" t="n"/>
      <c r="E386" s="32" t="n"/>
      <c r="F386" s="32" t="n"/>
      <c r="G386" s="32" t="n"/>
    </row>
    <row r="387" ht="15" customHeight="1" s="21">
      <c r="A387" s="32" t="n"/>
      <c r="B387" s="32" t="n"/>
      <c r="C387" s="32" t="n"/>
      <c r="D387" s="32" t="n"/>
      <c r="E387" s="32" t="n"/>
      <c r="F387" s="32" t="n"/>
      <c r="G387" s="32" t="n"/>
    </row>
    <row r="388" ht="15" customHeight="1" s="21">
      <c r="A388" s="32" t="n"/>
      <c r="B388" s="32" t="n"/>
      <c r="C388" s="32" t="n"/>
      <c r="D388" s="32" t="n"/>
      <c r="E388" s="32" t="n"/>
      <c r="F388" s="32" t="n"/>
      <c r="G388" s="32" t="n"/>
    </row>
    <row r="389" ht="15" customHeight="1" s="21">
      <c r="A389" s="32" t="n"/>
      <c r="B389" s="32" t="n"/>
      <c r="C389" s="32" t="n"/>
      <c r="D389" s="32" t="n"/>
      <c r="E389" s="32" t="n"/>
      <c r="F389" s="32" t="n"/>
      <c r="G389" s="32" t="n"/>
    </row>
    <row r="390" ht="15" customHeight="1" s="21">
      <c r="A390" s="32" t="n"/>
      <c r="B390" s="32" t="n"/>
      <c r="C390" s="32" t="n"/>
      <c r="D390" s="32" t="n"/>
      <c r="E390" s="32" t="n"/>
      <c r="F390" s="32" t="n"/>
      <c r="G390" s="32" t="n"/>
    </row>
    <row r="391" ht="15" customHeight="1" s="21">
      <c r="A391" s="32" t="n"/>
      <c r="B391" s="32" t="n"/>
      <c r="C391" s="32" t="n"/>
      <c r="D391" s="32" t="n"/>
      <c r="E391" s="32" t="n"/>
      <c r="F391" s="32" t="n"/>
      <c r="G391" s="32" t="n"/>
    </row>
    <row r="392" ht="15" customHeight="1" s="21">
      <c r="A392" s="32" t="n"/>
      <c r="B392" s="32" t="n"/>
      <c r="C392" s="32" t="n"/>
      <c r="D392" s="32" t="n"/>
      <c r="E392" s="32" t="n"/>
      <c r="F392" s="32" t="n"/>
      <c r="G392" s="32" t="n"/>
    </row>
    <row r="393" ht="15" customHeight="1" s="21">
      <c r="A393" s="32" t="n"/>
      <c r="B393" s="32" t="n"/>
      <c r="C393" s="32" t="n"/>
      <c r="D393" s="32" t="n"/>
      <c r="E393" s="32" t="n"/>
      <c r="F393" s="32" t="n"/>
      <c r="G393" s="32" t="n"/>
    </row>
    <row r="394" ht="15" customHeight="1" s="21">
      <c r="A394" s="32" t="n"/>
      <c r="B394" s="32" t="n"/>
      <c r="C394" s="32" t="n"/>
      <c r="D394" s="32" t="n"/>
      <c r="E394" s="32" t="n"/>
      <c r="F394" s="32" t="n"/>
      <c r="G394" s="32" t="n"/>
    </row>
    <row r="395" ht="15" customHeight="1" s="21">
      <c r="A395" s="32" t="n"/>
      <c r="B395" s="32" t="n"/>
      <c r="C395" s="32" t="n"/>
      <c r="D395" s="32" t="n"/>
      <c r="E395" s="32" t="n"/>
      <c r="F395" s="32" t="n"/>
      <c r="G395" s="32" t="n"/>
    </row>
    <row r="396" ht="15" customHeight="1" s="21">
      <c r="A396" s="32" t="n"/>
      <c r="B396" s="32" t="n"/>
      <c r="C396" s="32" t="n"/>
      <c r="D396" s="32" t="n"/>
      <c r="E396" s="32" t="n"/>
      <c r="F396" s="32" t="n"/>
      <c r="G396" s="32" t="n"/>
    </row>
    <row r="397" ht="15" customHeight="1" s="21">
      <c r="A397" s="32" t="n"/>
      <c r="B397" s="32" t="n"/>
      <c r="C397" s="32" t="n"/>
      <c r="D397" s="32" t="n"/>
      <c r="E397" s="32" t="n"/>
      <c r="F397" s="32" t="n"/>
      <c r="G397" s="32" t="n"/>
    </row>
    <row r="398" ht="15" customHeight="1" s="21">
      <c r="A398" s="32" t="n"/>
      <c r="B398" s="32" t="n"/>
      <c r="C398" s="32" t="n"/>
      <c r="D398" s="32" t="n"/>
      <c r="E398" s="32" t="n"/>
      <c r="F398" s="32" t="n"/>
      <c r="G398" s="32" t="n"/>
    </row>
    <row r="399" ht="15" customHeight="1" s="21">
      <c r="A399" s="32" t="n"/>
      <c r="B399" s="32" t="n"/>
      <c r="C399" s="32" t="n"/>
      <c r="D399" s="32" t="n"/>
      <c r="E399" s="32" t="n"/>
      <c r="F399" s="32" t="n"/>
      <c r="G399" s="32" t="n"/>
    </row>
    <row r="400" ht="15" customHeight="1" s="21">
      <c r="A400" s="32" t="n"/>
      <c r="B400" s="32" t="n"/>
      <c r="C400" s="32" t="n"/>
      <c r="D400" s="32" t="n"/>
      <c r="E400" s="32" t="n"/>
      <c r="F400" s="32" t="n"/>
      <c r="G400" s="32" t="n"/>
    </row>
    <row r="401" ht="15" customHeight="1" s="21">
      <c r="A401" s="32" t="n"/>
      <c r="B401" s="32" t="n"/>
      <c r="C401" s="32" t="n"/>
      <c r="D401" s="32" t="n"/>
      <c r="E401" s="32" t="n"/>
      <c r="F401" s="32" t="n"/>
      <c r="G401" s="32" t="n"/>
    </row>
  </sheetData>
  <dataValidations count="2">
    <dataValidation sqref="A2:A401" showDropDown="0" showInputMessage="0" showErrorMessage="1" allowBlank="1" errorTitle="Choose from the list" error="Pick one of the options in the drop-down." type="list" errorStyle="stop" operator="between">
      <formula1>Lists!$A$2:$A$10</formula1>
      <formula2>0</formula2>
    </dataValidation>
    <dataValidation sqref="D2:D401" showDropDown="0" showInputMessage="0" showErrorMessage="1" allowBlank="1" errorTitle="Choose from the list" error="Pick one of the options in the drop-down." type="list" errorStyle="stop" operator="between">
      <formula1>Lists!$B$2:$B$12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20" min="1" max="1"/>
    <col width="14" customWidth="1" style="20" min="2" max="2"/>
    <col width="60" customWidth="1" style="20" min="3" max="3"/>
    <col width="22" customWidth="1" style="20" min="4" max="4"/>
    <col width="12" customWidth="1" style="20" min="5" max="5"/>
    <col width="50" customWidth="1" style="20" min="6" max="6"/>
  </cols>
  <sheetData>
    <row r="1" ht="31.5" customHeight="1" s="21">
      <c r="A1" s="31" t="inlineStr">
        <is>
          <t>Code</t>
        </is>
      </c>
      <c r="B1" s="31" t="inlineStr">
        <is>
          <t>Name</t>
        </is>
      </c>
      <c r="C1" s="31" t="inlineStr">
        <is>
          <t>What it's for</t>
        </is>
      </c>
      <c r="D1" s="31" t="inlineStr">
        <is>
          <t>How the app sets it</t>
        </is>
      </c>
      <c r="E1" s="31" t="inlineStr">
        <is>
          <t>Effort (RPE /10)</t>
        </is>
      </c>
      <c r="F1" s="31" t="inlineStr">
        <is>
          <t>Your notes / changes</t>
        </is>
      </c>
    </row>
    <row r="2" ht="23.85" customHeight="1" s="21">
      <c r="A2" s="36" t="inlineStr">
        <is>
          <t>E</t>
        </is>
      </c>
      <c r="B2" s="36" t="inlineStr">
        <is>
          <t>Easy</t>
        </is>
      </c>
      <c r="C2" s="32" t="inlineStr">
        <is>
          <t>Conversational. Easy runs, long runs, warm-ups, cool-downs, jog recoveries.</t>
        </is>
      </c>
      <c r="D2" s="36" t="inlineStr">
        <is>
          <t>VDOT easy range</t>
        </is>
      </c>
      <c r="E2" s="32" t="inlineStr">
        <is>
          <t>3–4</t>
        </is>
      </c>
      <c r="F2" s="32" t="n"/>
    </row>
    <row r="3" ht="23.85" customHeight="1" s="21">
      <c r="A3" s="36" t="inlineStr">
        <is>
          <t>STEADY</t>
        </is>
      </c>
      <c r="B3" s="36" t="inlineStr">
        <is>
          <t>Steady</t>
        </is>
      </c>
      <c r="C3" s="32" t="inlineStr">
        <is>
          <t>Between easy and marathon pace: relaxed but purposeful. Steady finishes and progressions.</t>
        </is>
      </c>
      <c r="D3" s="36" t="inlineStr">
        <is>
          <t>Marathon pace + 10–20 s/km</t>
        </is>
      </c>
      <c r="E3" s="32" t="inlineStr">
        <is>
          <t>4–5</t>
        </is>
      </c>
      <c r="F3" s="32" t="n"/>
    </row>
    <row r="4" ht="15" customHeight="1" s="21">
      <c r="A4" s="36" t="inlineStr">
        <is>
          <t>M</t>
        </is>
      </c>
      <c r="B4" s="36" t="inlineStr">
        <is>
          <t>Marathon</t>
        </is>
      </c>
      <c r="C4" s="32" t="inlineStr">
        <is>
          <t>Marathon race pace.</t>
        </is>
      </c>
      <c r="D4" s="36" t="inlineStr">
        <is>
          <t>VDOT marathon pace</t>
        </is>
      </c>
      <c r="E4" s="32" t="inlineStr">
        <is>
          <t>5–6</t>
        </is>
      </c>
      <c r="F4" s="32" t="n"/>
    </row>
    <row r="5" ht="15" customHeight="1" s="21">
      <c r="A5" s="36" t="inlineStr">
        <is>
          <t>HM</t>
        </is>
      </c>
      <c r="B5" s="36" t="inlineStr">
        <is>
          <t>Half-Marathon</t>
        </is>
      </c>
      <c r="C5" s="32" t="inlineStr">
        <is>
          <t>Half Marathon Pace</t>
        </is>
      </c>
      <c r="D5" s="36" t="inlineStr">
        <is>
          <t>VDOT half marathon pace</t>
        </is>
      </c>
      <c r="E5" s="32" t="inlineStr">
        <is>
          <t>5–6</t>
        </is>
      </c>
      <c r="F5" s="32" t="n"/>
    </row>
    <row r="6" ht="15" customHeight="1" s="21">
      <c r="A6" s="36" t="inlineStr">
        <is>
          <t>T</t>
        </is>
      </c>
      <c r="B6" s="36" t="inlineStr">
        <is>
          <t>Threshold</t>
        </is>
      </c>
      <c r="C6" s="32" t="inlineStr">
        <is>
          <t>Comfortably hard; ~1 hour race effort. Tempo runs, cruise intervals.</t>
        </is>
      </c>
      <c r="D6" s="36" t="inlineStr">
        <is>
          <t>VDOT threshold pace</t>
        </is>
      </c>
      <c r="E6" s="32" t="inlineStr">
        <is>
          <t>6–7</t>
        </is>
      </c>
      <c r="F6" s="32" t="n"/>
    </row>
    <row r="7" ht="15" customHeight="1" s="21">
      <c r="A7" s="36" t="inlineStr">
        <is>
          <t>10K</t>
        </is>
      </c>
      <c r="B7" s="36" t="inlineStr">
        <is>
          <t>10K</t>
        </is>
      </c>
      <c r="C7" s="32" t="inlineStr">
        <is>
          <t>10K race pace. Longer reps and fartlek surges.</t>
        </is>
      </c>
      <c r="D7" s="36" t="inlineStr">
        <is>
          <t>Predicted 10K pace from race time</t>
        </is>
      </c>
      <c r="E7" s="32" t="inlineStr">
        <is>
          <t>7–8</t>
        </is>
      </c>
      <c r="F7" s="32" t="n"/>
    </row>
    <row r="8" ht="15" customHeight="1" s="21">
      <c r="A8" s="36" t="inlineStr">
        <is>
          <t>5K</t>
        </is>
      </c>
      <c r="B8" s="36" t="inlineStr">
        <is>
          <t>5K</t>
        </is>
      </c>
      <c r="C8" s="32" t="inlineStr">
        <is>
          <t>5K race pace.</t>
        </is>
      </c>
      <c r="D8" s="36" t="inlineStr">
        <is>
          <t>Predicted 5K pace from race time</t>
        </is>
      </c>
      <c r="E8" s="32" t="inlineStr">
        <is>
          <t>8–9</t>
        </is>
      </c>
      <c r="F8" s="32" t="n"/>
    </row>
    <row r="9" ht="15" customHeight="1" s="21">
      <c r="A9" s="36" t="inlineStr">
        <is>
          <t>I</t>
        </is>
      </c>
      <c r="B9" s="36" t="inlineStr">
        <is>
          <t>Interval</t>
        </is>
      </c>
      <c r="C9" s="32" t="inlineStr">
        <is>
          <t>3K–5K race effort. VO2max reps of 2–5 minutes.</t>
        </is>
      </c>
      <c r="D9" s="36" t="inlineStr">
        <is>
          <t>VDOT interval pace</t>
        </is>
      </c>
      <c r="E9" s="32" t="inlineStr">
        <is>
          <t>8–9</t>
        </is>
      </c>
      <c r="F9" s="32" t="n"/>
    </row>
    <row r="10" ht="15" customHeight="1" s="21">
      <c r="A10" s="36" t="inlineStr">
        <is>
          <t>R</t>
        </is>
      </c>
      <c r="B10" s="36" t="inlineStr">
        <is>
          <t>Repetition</t>
        </is>
      </c>
      <c r="C10" s="32" t="inlineStr">
        <is>
          <t>Mile race effort. Short fast reps with full recovery.</t>
        </is>
      </c>
      <c r="D10" s="36" t="inlineStr">
        <is>
          <t>VDOT repetition pace</t>
        </is>
      </c>
      <c r="E10" s="32" t="inlineStr">
        <is>
          <t>9</t>
        </is>
      </c>
      <c r="F10" s="32" t="n"/>
    </row>
    <row r="12" ht="15" customHeight="1" s="21">
      <c r="A12" s="34" t="inlineStr">
        <is>
          <t>Paces come from the runner's recent race time (Jack Daniels' VDOT tables) and update as they get fitter. Codes can't be renamed; descriptions can.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0" min="1" max="1"/>
    <col width="10" customWidth="1" style="20" min="2" max="2"/>
    <col width="40" customWidth="1" style="20" min="3" max="3"/>
    <col width="50" customWidth="1" style="20" min="4" max="4"/>
    <col width="12" customWidth="1" style="20" min="5" max="5"/>
    <col width="10" customWidth="1" style="20" min="6" max="6"/>
  </cols>
  <sheetData>
    <row r="1" ht="31.5" customHeight="1" s="21">
      <c r="A1" s="31" t="inlineStr">
        <is>
          <t>Split</t>
        </is>
      </c>
      <c r="B1" s="31" t="inlineStr">
        <is>
          <t>Days per week</t>
        </is>
      </c>
      <c r="C1" s="31" t="inlineStr">
        <is>
          <t>Day names (in order)</t>
        </is>
      </c>
      <c r="D1" s="31" t="inlineStr">
        <is>
          <t>Who it suits</t>
        </is>
      </c>
      <c r="E1" s="31" t="inlineStr">
        <is>
          <t>Shown in onboarding?</t>
        </is>
      </c>
      <c r="F1" s="31" t="inlineStr">
        <is>
          <t>Days written</t>
        </is>
      </c>
    </row>
    <row r="2" ht="15" customHeight="1" s="21">
      <c r="A2" s="30" t="inlineStr">
        <is>
          <t>Full body ×1</t>
        </is>
      </c>
      <c r="B2" s="32" t="n">
        <v>1</v>
      </c>
      <c r="C2" s="32" t="inlineStr">
        <is>
          <t>Full body</t>
        </is>
      </c>
      <c r="D2" s="32" t="inlineStr">
        <is>
          <t>Very busy weeks or running-focused plans.</t>
        </is>
      </c>
      <c r="E2" s="32" t="inlineStr">
        <is>
          <t>Yes</t>
        </is>
      </c>
      <c r="F2" s="33">
        <f>SUMPRODUCT(('Split days'!$A$2:$A$401=A2)/COUNTIFS('Split days'!$A$2:$A$401,'Split days'!$A$2:$A$401&amp;"",'Split days'!$B$2:$B$401,'Split days'!$B$2:$B$401&amp;""))</f>
        <v/>
      </c>
    </row>
    <row r="3" ht="15" customHeight="1" s="21">
      <c r="A3" s="30" t="inlineStr">
        <is>
          <t>Full body ×2</t>
        </is>
      </c>
      <c r="B3" s="32" t="n">
        <v>2</v>
      </c>
      <c r="C3" s="32" t="inlineStr">
        <is>
          <t>Full body A, Full body B</t>
        </is>
      </c>
      <c r="D3" s="32" t="inlineStr">
        <is>
          <t>Most runners: two sessions that cover everything.</t>
        </is>
      </c>
      <c r="E3" s="32" t="inlineStr">
        <is>
          <t>Yes</t>
        </is>
      </c>
      <c r="F3" s="33">
        <f>SUMPRODUCT(('Split days'!$A$2:$A$401=A3)/COUNTIFS('Split days'!$A$2:$A$401,'Split days'!$A$2:$A$401&amp;"",'Split days'!$B$2:$B$401,'Split days'!$B$2:$B$401&amp;""))</f>
        <v/>
      </c>
    </row>
    <row r="4" ht="15" customHeight="1" s="21">
      <c r="A4" s="30" t="inlineStr">
        <is>
          <t>Full body ×3</t>
        </is>
      </c>
      <c r="B4" s="32" t="n">
        <v>3</v>
      </c>
      <c r="C4" s="32" t="inlineStr">
        <is>
          <t>Full body A, Full body B, Full body C</t>
        </is>
      </c>
      <c r="D4" s="32" t="inlineStr">
        <is>
          <t>Balanced hybrid, newer lifters.</t>
        </is>
      </c>
      <c r="E4" s="32" t="inlineStr">
        <is>
          <t>Yes</t>
        </is>
      </c>
      <c r="F4" s="33">
        <f>SUMPRODUCT(('Split days'!$A$2:$A$401=A4)/COUNTIFS('Split days'!$A$2:$A$401,'Split days'!$A$2:$A$401&amp;"",'Split days'!$B$2:$B$401,'Split days'!$B$2:$B$401&amp;""))</f>
        <v/>
      </c>
    </row>
    <row r="5" ht="15" customHeight="1" s="21">
      <c r="A5" s="30" t="inlineStr">
        <is>
          <t>Upper / Lower</t>
        </is>
      </c>
      <c r="B5" s="32" t="n">
        <v>4</v>
      </c>
      <c r="C5" s="32" t="inlineStr">
        <is>
          <t>Upper A, Lower A, Upper B, Lower B</t>
        </is>
      </c>
      <c r="D5" s="32" t="inlineStr">
        <is>
          <t>Strength focus with 4 lifting days.</t>
        </is>
      </c>
      <c r="E5" s="32" t="inlineStr">
        <is>
          <t>Yes</t>
        </is>
      </c>
      <c r="F5" s="33">
        <f>SUMPRODUCT(('Split days'!$A$2:$A$401=A5)/COUNTIFS('Split days'!$A$2:$A$401,'Split days'!$A$2:$A$401&amp;"",'Split days'!$B$2:$B$401,'Split days'!$B$2:$B$401&amp;""))</f>
        <v/>
      </c>
    </row>
    <row r="6" ht="15" customHeight="1" s="21">
      <c r="A6" s="30" t="inlineStr">
        <is>
          <t>Push / Pull / Legs</t>
        </is>
      </c>
      <c r="B6" s="32" t="n">
        <v>3</v>
      </c>
      <c r="C6" s="32" t="inlineStr">
        <is>
          <t>Push, Pull, Legs</t>
        </is>
      </c>
      <c r="D6" s="32" t="inlineStr">
        <is>
          <t>Muscle focus with 3 lifting days.</t>
        </is>
      </c>
      <c r="E6" s="32" t="inlineStr">
        <is>
          <t>Yes</t>
        </is>
      </c>
      <c r="F6" s="33">
        <f>SUMPRODUCT(('Split days'!$A$2:$A$401=A6)/COUNTIFS('Split days'!$A$2:$A$401,'Split days'!$A$2:$A$401&amp;"",'Split days'!$B$2:$B$401,'Split days'!$B$2:$B$401&amp;""))</f>
        <v/>
      </c>
    </row>
    <row r="7" ht="15" customHeight="1" s="21">
      <c r="A7" s="30" t="inlineStr">
        <is>
          <t>Push / Pull / Legs ×2</t>
        </is>
      </c>
      <c r="B7" s="32" t="n">
        <v>6</v>
      </c>
      <c r="C7" s="32" t="inlineStr">
        <is>
          <t>Push A, Pull A, Legs A, Push B, Pull B, Legs B</t>
        </is>
      </c>
      <c r="D7" s="32" t="inlineStr">
        <is>
          <t>Experienced lifters, muscle focus, light running.</t>
        </is>
      </c>
      <c r="E7" s="32" t="inlineStr">
        <is>
          <t>Yes</t>
        </is>
      </c>
      <c r="F7" s="33">
        <f>SUMPRODUCT(('Split days'!$A$2:$A$401=A7)/COUNTIFS('Split days'!$A$2:$A$401,'Split days'!$A$2:$A$401&amp;"",'Split days'!$B$2:$B$401,'Split days'!$B$2:$B$401&amp;""))</f>
        <v/>
      </c>
    </row>
    <row r="8" ht="15" customHeight="1" s="21">
      <c r="A8" s="30" t="inlineStr">
        <is>
          <t>Upper / Lower / Full</t>
        </is>
      </c>
      <c r="B8" s="32" t="n">
        <v>3</v>
      </c>
      <c r="C8" s="32" t="inlineStr">
        <is>
          <t>Upper, Lower, Full body</t>
        </is>
      </c>
      <c r="D8" s="32" t="inlineStr">
        <is>
          <t>3 days, a bit more volume per muscle than full body.</t>
        </is>
      </c>
      <c r="E8" s="32" t="inlineStr">
        <is>
          <t>Yes</t>
        </is>
      </c>
      <c r="F8" s="33">
        <f>SUMPRODUCT(('Split days'!$A$2:$A$401=A8)/COUNTIFS('Split days'!$A$2:$A$401,'Split days'!$A$2:$A$401&amp;"",'Split days'!$B$2:$B$401,'Split days'!$B$2:$B$401&amp;""))</f>
        <v/>
      </c>
    </row>
    <row r="9" ht="15" customHeight="1" s="21">
      <c r="A9" s="30" t="inlineStr">
        <is>
          <t>PPL + Upper / Lower</t>
        </is>
      </c>
      <c r="B9" s="32" t="n">
        <v>5</v>
      </c>
      <c r="C9" s="32" t="inlineStr">
        <is>
          <t>Push, Pull, Legs, Upper, Lower</t>
        </is>
      </c>
      <c r="D9" s="32" t="inlineStr">
        <is>
          <t>5 lifting days, muscle focus.</t>
        </is>
      </c>
      <c r="E9" s="32" t="inlineStr">
        <is>
          <t>Yes</t>
        </is>
      </c>
      <c r="F9" s="33">
        <f>SUMPRODUCT(('Split days'!$A$2:$A$401=A9)/COUNTIFS('Split days'!$A$2:$A$401,'Split days'!$A$2:$A$401&amp;"",'Split days'!$B$2:$B$401,'Split days'!$B$2:$B$401&amp;""))</f>
        <v/>
      </c>
    </row>
    <row r="10" ht="15" customHeight="1" s="21">
      <c r="A10" s="30" t="inlineStr">
        <is>
          <t>PPL + Upper + Shoulders &amp; arms</t>
        </is>
      </c>
      <c r="B10" s="32" t="n">
        <v>5</v>
      </c>
      <c r="C10" s="32" t="inlineStr">
        <is>
          <t>Push, Pull, Legs, Upper, Shoulders &amp; arms</t>
        </is>
      </c>
      <c r="D10" s="32" t="inlineStr">
        <is>
          <t>5 lifting days, muscle focus.</t>
        </is>
      </c>
      <c r="E10" s="32" t="inlineStr">
        <is>
          <t>Yes</t>
        </is>
      </c>
      <c r="F10" s="33">
        <f>SUMPRODUCT(('Split days'!$A$2:$A$401=A10)/COUNTIFS('Split days'!$A$2:$A$401,'Split days'!$A$2:$A$401&amp;"",'Split days'!$B$2:$B$401,'Split days'!$B$2:$B$401&amp;""))</f>
        <v/>
      </c>
    </row>
    <row r="11" ht="15" customHeight="1" s="21">
      <c r="A11" s="30" t="inlineStr">
        <is>
          <t>Hyrox: stations ×2</t>
        </is>
      </c>
      <c r="B11" s="32" t="n">
        <v>2</v>
      </c>
      <c r="C11" s="32" t="inlineStr">
        <is>
          <t>Stations A, Stations B</t>
        </is>
      </c>
      <c r="D11" s="32" t="inlineStr">
        <is>
          <t>Hyrox: two station sessions covering all eight stations.</t>
        </is>
      </c>
      <c r="E11" s="32" t="inlineStr">
        <is>
          <t>Yes</t>
        </is>
      </c>
      <c r="F11" s="33">
        <f>SUMPRODUCT(('Split days'!$A$2:$A$401=A11)/COUNTIFS('Split days'!$A$2:$A$401,'Split days'!$A$2:$A$401&amp;"",'Split days'!$B$2:$B$401,'Split days'!$B$2:$B$401&amp;""))</f>
        <v/>
      </c>
    </row>
    <row r="12" ht="15" customHeight="1" s="21">
      <c r="A12" s="30" t="inlineStr">
        <is>
          <t>Hyrox: strength + stations</t>
        </is>
      </c>
      <c r="B12" s="32" t="n">
        <v>3</v>
      </c>
      <c r="C12" s="32" t="inlineStr">
        <is>
          <t>Strength A, Stations, Strength B</t>
        </is>
      </c>
      <c r="D12" s="32" t="inlineStr">
        <is>
          <t>Hyrox: two strength days and one station day.</t>
        </is>
      </c>
      <c r="E12" s="32" t="inlineStr">
        <is>
          <t>Yes</t>
        </is>
      </c>
      <c r="F12" s="33">
        <f>SUMPRODUCT(('Split days'!$A$2:$A$401=A12)/COUNTIFS('Split days'!$A$2:$A$401,'Split days'!$A$2:$A$401&amp;"",'Split days'!$B$2:$B$401,'Split days'!$B$2:$B$401&amp;""))</f>
        <v/>
      </c>
    </row>
    <row r="13">
      <c r="A13" s="30" t="inlineStr">
        <is>
          <t>Push / Pull / Legs / Upper</t>
        </is>
      </c>
      <c r="B13" s="32" t="n">
        <v>4</v>
      </c>
      <c r="C13" s="32" t="inlineStr">
        <is>
          <t>Push, Pull, Legs, Upper</t>
        </is>
      </c>
      <c r="D13" s="32" t="inlineStr">
        <is>
          <t>4 lifting days, muscle focus: push, pull and legs, plus an upper day for extra chest, back and arms.</t>
        </is>
      </c>
      <c r="E13" s="32" t="inlineStr">
        <is>
          <t>Yes</t>
        </is>
      </c>
      <c r="F13" s="33">
        <f>SUMPRODUCT(('Split days'!$A$2:$A$401=A13)/COUNTIFS('Split days'!$A$2:$A$401,'Split days'!$A$2:$A$401&amp;"",'Split days'!$B$2:$B$401,'Split days'!$B$2:$B$401&amp;""))</f>
        <v/>
      </c>
    </row>
  </sheetData>
  <dataValidations count="1">
    <dataValidation sqref="E2:E13" showDropDown="0" showInputMessage="0" showErrorMessage="1" allowBlank="1" errorTitle="Choose from the list" error="Pick one of the options in the drop-down." type="list" errorStyle="stop" operator="between">
      <formula1>Lists!$G$2:$G$3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J427"/>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0" min="1" max="1"/>
    <col width="16" customWidth="1" style="20" min="2" max="2"/>
    <col width="7" customWidth="1" style="20" min="3" max="3"/>
    <col width="40" customWidth="1" style="20" min="4" max="4"/>
    <col width="11" customWidth="1" style="20" min="5" max="5"/>
    <col width="7" customWidth="1" style="20" min="6" max="6"/>
    <col width="9" customWidth="1" style="20" min="7" max="9"/>
    <col width="40" customWidth="1" style="20" min="10" max="10"/>
  </cols>
  <sheetData>
    <row r="1" ht="31.5" customHeight="1" s="21">
      <c r="A1" s="31" t="inlineStr">
        <is>
          <t>Split</t>
        </is>
      </c>
      <c r="B1" s="31" t="inlineStr">
        <is>
          <t>Day name</t>
        </is>
      </c>
      <c r="C1" s="31" t="inlineStr">
        <is>
          <t>Order</t>
        </is>
      </c>
      <c r="D1" s="31" t="inlineStr">
        <is>
          <t>Exercise</t>
        </is>
      </c>
      <c r="E1" s="31" t="inlineStr">
        <is>
          <t>Role</t>
        </is>
      </c>
      <c r="F1" s="31" t="inlineStr">
        <is>
          <t>Sets</t>
        </is>
      </c>
      <c r="G1" s="31" t="inlineStr">
        <is>
          <t>Reps (low)</t>
        </is>
      </c>
      <c r="H1" s="31" t="inlineStr">
        <is>
          <t>Reps (high)</t>
        </is>
      </c>
      <c r="I1" s="31" t="inlineStr">
        <is>
          <t>Rest (s)</t>
        </is>
      </c>
      <c r="J1" s="31" t="inlineStr">
        <is>
          <t>Notes</t>
        </is>
      </c>
    </row>
    <row r="2" ht="15" customHeight="1" s="21">
      <c r="A2" s="32" t="inlineStr">
        <is>
          <t>Full body ×1</t>
        </is>
      </c>
      <c r="B2" s="32" t="inlineStr">
        <is>
          <t>Full body</t>
        </is>
      </c>
      <c r="C2" s="32" t="n">
        <v>1</v>
      </c>
      <c r="D2" s="32" t="inlineStr">
        <is>
          <t>Any squat</t>
        </is>
      </c>
      <c r="E2" s="32" t="inlineStr">
        <is>
          <t>Main</t>
        </is>
      </c>
      <c r="F2" s="32" t="n"/>
      <c r="G2" s="32" t="n"/>
      <c r="H2" s="32" t="n"/>
      <c r="I2" s="32" t="n"/>
      <c r="J2" s="32" t="n"/>
    </row>
    <row r="3" ht="15" customHeight="1" s="21">
      <c r="A3" s="32" t="inlineStr">
        <is>
          <t>Full body ×1</t>
        </is>
      </c>
      <c r="B3" s="32" t="inlineStr">
        <is>
          <t>Full body</t>
        </is>
      </c>
      <c r="C3" s="32" t="n">
        <v>2</v>
      </c>
      <c r="D3" s="32" t="inlineStr">
        <is>
          <t>Any horizontal push (bench, press-up)</t>
        </is>
      </c>
      <c r="E3" s="32" t="inlineStr">
        <is>
          <t>Main</t>
        </is>
      </c>
      <c r="F3" s="32" t="n"/>
      <c r="G3" s="32" t="n"/>
      <c r="H3" s="32" t="n"/>
      <c r="I3" s="32" t="n"/>
      <c r="J3" s="32" t="n"/>
    </row>
    <row r="4" ht="15" customHeight="1" s="21">
      <c r="A4" s="32" t="inlineStr">
        <is>
          <t>Full body ×1</t>
        </is>
      </c>
      <c r="B4" s="32" t="inlineStr">
        <is>
          <t>Full body</t>
        </is>
      </c>
      <c r="C4" s="32" t="n">
        <v>3</v>
      </c>
      <c r="D4" s="32" t="inlineStr">
        <is>
          <t>Any hinge accessory (RDL, bridge)</t>
        </is>
      </c>
      <c r="E4" s="32" t="inlineStr">
        <is>
          <t>Accessory</t>
        </is>
      </c>
      <c r="F4" s="32" t="n"/>
      <c r="G4" s="32" t="n"/>
      <c r="H4" s="32" t="n"/>
      <c r="I4" s="32" t="n"/>
      <c r="J4" s="32" t="n"/>
    </row>
    <row r="5" ht="15" customHeight="1" s="21">
      <c r="A5" s="32" t="inlineStr">
        <is>
          <t>Full body ×1</t>
        </is>
      </c>
      <c r="B5" s="32" t="inlineStr">
        <is>
          <t>Full body</t>
        </is>
      </c>
      <c r="C5" s="32" t="n">
        <v>4</v>
      </c>
      <c r="D5" s="32" t="inlineStr">
        <is>
          <t>Any horizontal pull (row)</t>
        </is>
      </c>
      <c r="E5" s="32" t="inlineStr">
        <is>
          <t>Accessory</t>
        </is>
      </c>
      <c r="F5" s="32" t="n"/>
      <c r="G5" s="32" t="n"/>
      <c r="H5" s="32" t="n"/>
      <c r="I5" s="32" t="n"/>
      <c r="J5" s="32" t="n"/>
    </row>
    <row r="6" ht="15" customHeight="1" s="21">
      <c r="A6" s="32" t="inlineStr">
        <is>
          <t>Full body ×1</t>
        </is>
      </c>
      <c r="B6" s="32" t="inlineStr">
        <is>
          <t>Full body</t>
        </is>
      </c>
      <c r="C6" s="32" t="n">
        <v>5</v>
      </c>
      <c r="D6" s="32" t="inlineStr">
        <is>
          <t>Any vertical push (overhead press)</t>
        </is>
      </c>
      <c r="E6" s="32" t="inlineStr">
        <is>
          <t>Accessory</t>
        </is>
      </c>
      <c r="F6" s="32" t="n"/>
      <c r="G6" s="32" t="n"/>
      <c r="H6" s="32" t="n"/>
      <c r="I6" s="32" t="n"/>
      <c r="J6" s="32" t="n"/>
    </row>
    <row r="7" ht="15" customHeight="1" s="21">
      <c r="A7" s="32" t="inlineStr">
        <is>
          <t>Full body ×1</t>
        </is>
      </c>
      <c r="B7" s="32" t="inlineStr">
        <is>
          <t>Full body</t>
        </is>
      </c>
      <c r="C7" s="32" t="n">
        <v>6</v>
      </c>
      <c r="D7" s="32" t="inlineStr">
        <is>
          <t>Any core</t>
        </is>
      </c>
      <c r="E7" s="32" t="inlineStr">
        <is>
          <t>Accessory</t>
        </is>
      </c>
      <c r="F7" s="32" t="n"/>
      <c r="G7" s="32" t="n"/>
      <c r="H7" s="32" t="n"/>
      <c r="I7" s="32" t="n"/>
      <c r="J7" s="32" t="n"/>
    </row>
    <row r="8" ht="15" customHeight="1" s="21">
      <c r="A8" s="32" t="inlineStr">
        <is>
          <t>Full body ×2</t>
        </is>
      </c>
      <c r="B8" s="32" t="inlineStr">
        <is>
          <t>Full body A</t>
        </is>
      </c>
      <c r="C8" s="32" t="n">
        <v>1</v>
      </c>
      <c r="D8" s="32" t="inlineStr">
        <is>
          <t>Any squat</t>
        </is>
      </c>
      <c r="E8" s="32" t="inlineStr">
        <is>
          <t>Main</t>
        </is>
      </c>
      <c r="F8" s="32" t="n"/>
      <c r="G8" s="32" t="n"/>
      <c r="H8" s="32" t="n"/>
      <c r="I8" s="32" t="n"/>
      <c r="J8" s="32" t="n"/>
    </row>
    <row r="9" ht="15" customHeight="1" s="21">
      <c r="A9" s="32" t="inlineStr">
        <is>
          <t>Full body ×2</t>
        </is>
      </c>
      <c r="B9" s="32" t="inlineStr">
        <is>
          <t>Full body A</t>
        </is>
      </c>
      <c r="C9" s="32" t="n">
        <v>2</v>
      </c>
      <c r="D9" s="32" t="inlineStr">
        <is>
          <t>Any horizontal push (bench, press-up)</t>
        </is>
      </c>
      <c r="E9" s="32" t="inlineStr">
        <is>
          <t>Main</t>
        </is>
      </c>
      <c r="F9" s="32" t="n"/>
      <c r="G9" s="32" t="n"/>
      <c r="H9" s="32" t="n"/>
      <c r="I9" s="32" t="n"/>
      <c r="J9" s="32" t="n"/>
    </row>
    <row r="10" ht="15" customHeight="1" s="21">
      <c r="A10" s="32" t="inlineStr">
        <is>
          <t>Full body ×2</t>
        </is>
      </c>
      <c r="B10" s="32" t="inlineStr">
        <is>
          <t>Full body A</t>
        </is>
      </c>
      <c r="C10" s="32" t="n">
        <v>3</v>
      </c>
      <c r="D10" s="32" t="inlineStr">
        <is>
          <t>Any horizontal pull (row)</t>
        </is>
      </c>
      <c r="E10" s="32" t="inlineStr">
        <is>
          <t>Accessory</t>
        </is>
      </c>
      <c r="F10" s="32" t="n"/>
      <c r="G10" s="32" t="n"/>
      <c r="H10" s="32" t="n"/>
      <c r="I10" s="32" t="n"/>
      <c r="J10" s="32" t="n"/>
    </row>
    <row r="11" ht="15" customHeight="1" s="21">
      <c r="A11" s="32" t="inlineStr">
        <is>
          <t>Full body ×2</t>
        </is>
      </c>
      <c r="B11" s="32" t="inlineStr">
        <is>
          <t>Full body A</t>
        </is>
      </c>
      <c r="C11" s="32" t="n">
        <v>4</v>
      </c>
      <c r="D11" s="32" t="inlineStr">
        <is>
          <t>Any calf raise</t>
        </is>
      </c>
      <c r="E11" s="32" t="inlineStr">
        <is>
          <t>Accessory</t>
        </is>
      </c>
      <c r="F11" s="32" t="n"/>
      <c r="G11" s="32" t="n"/>
      <c r="H11" s="32" t="n"/>
      <c r="I11" s="32" t="n"/>
      <c r="J11" s="32" t="n"/>
    </row>
    <row r="12" ht="15" customHeight="1" s="21">
      <c r="A12" s="32" t="inlineStr">
        <is>
          <t>Full body ×2</t>
        </is>
      </c>
      <c r="B12" s="32" t="inlineStr">
        <is>
          <t>Full body A</t>
        </is>
      </c>
      <c r="C12" s="32" t="n">
        <v>5</v>
      </c>
      <c r="D12" s="32" t="inlineStr">
        <is>
          <t>Any core</t>
        </is>
      </c>
      <c r="E12" s="32" t="inlineStr">
        <is>
          <t>Accessory</t>
        </is>
      </c>
      <c r="F12" s="32" t="n"/>
      <c r="G12" s="32" t="n"/>
      <c r="H12" s="32" t="n"/>
      <c r="I12" s="32" t="n"/>
      <c r="J12" s="32" t="n"/>
    </row>
    <row r="13" ht="15" customHeight="1" s="21">
      <c r="A13" s="32" t="inlineStr">
        <is>
          <t>Full body ×2</t>
        </is>
      </c>
      <c r="B13" s="32" t="inlineStr">
        <is>
          <t>Full body B</t>
        </is>
      </c>
      <c r="C13" s="32" t="n">
        <v>1</v>
      </c>
      <c r="D13" s="32" t="inlineStr">
        <is>
          <t>Any hinge (deadlift)</t>
        </is>
      </c>
      <c r="E13" s="32" t="inlineStr">
        <is>
          <t>Main</t>
        </is>
      </c>
      <c r="F13" s="32" t="n"/>
      <c r="G13" s="32" t="n"/>
      <c r="H13" s="32" t="n"/>
      <c r="I13" s="32" t="n"/>
      <c r="J13" s="32" t="n"/>
    </row>
    <row r="14" ht="15" customHeight="1" s="21">
      <c r="A14" s="32" t="inlineStr">
        <is>
          <t>Full body ×2</t>
        </is>
      </c>
      <c r="B14" s="32" t="inlineStr">
        <is>
          <t>Full body B</t>
        </is>
      </c>
      <c r="C14" s="32" t="n">
        <v>2</v>
      </c>
      <c r="D14" s="32" t="inlineStr">
        <is>
          <t>Any vertical push (overhead press)</t>
        </is>
      </c>
      <c r="E14" s="32" t="inlineStr">
        <is>
          <t>Main</t>
        </is>
      </c>
      <c r="F14" s="32" t="n"/>
      <c r="G14" s="32" t="n"/>
      <c r="H14" s="32" t="n"/>
      <c r="I14" s="32" t="n"/>
      <c r="J14" s="32" t="n"/>
    </row>
    <row r="15" ht="15" customHeight="1" s="21">
      <c r="A15" s="32" t="inlineStr">
        <is>
          <t>Full body ×2</t>
        </is>
      </c>
      <c r="B15" s="32" t="inlineStr">
        <is>
          <t>Full body B</t>
        </is>
      </c>
      <c r="C15" s="32" t="n">
        <v>3</v>
      </c>
      <c r="D15" s="32" t="inlineStr">
        <is>
          <t>Any vertical pull (pull-up, pulldown)</t>
        </is>
      </c>
      <c r="E15" s="32" t="inlineStr">
        <is>
          <t>Accessory</t>
        </is>
      </c>
      <c r="F15" s="32" t="n"/>
      <c r="G15" s="32" t="n"/>
      <c r="H15" s="32" t="n"/>
      <c r="I15" s="32" t="n"/>
      <c r="J15" s="32" t="n"/>
    </row>
    <row r="16" ht="15" customHeight="1" s="21">
      <c r="A16" s="32" t="inlineStr">
        <is>
          <t>Full body ×2</t>
        </is>
      </c>
      <c r="B16" s="32" t="inlineStr">
        <is>
          <t>Full body B</t>
        </is>
      </c>
      <c r="C16" s="32" t="n">
        <v>4</v>
      </c>
      <c r="D16" s="32" t="inlineStr">
        <is>
          <t>Any lunge / split squat</t>
        </is>
      </c>
      <c r="E16" s="32" t="inlineStr">
        <is>
          <t>Accessory</t>
        </is>
      </c>
      <c r="F16" s="32" t="n"/>
      <c r="G16" s="32" t="n"/>
      <c r="H16" s="32" t="n"/>
      <c r="I16" s="32" t="n"/>
      <c r="J16" s="32" t="n"/>
    </row>
    <row r="17" ht="15" customHeight="1" s="21">
      <c r="A17" s="32" t="inlineStr">
        <is>
          <t>Full body ×2</t>
        </is>
      </c>
      <c r="B17" s="32" t="inlineStr">
        <is>
          <t>Full body B</t>
        </is>
      </c>
      <c r="C17" s="32" t="n">
        <v>5</v>
      </c>
      <c r="D17" s="32" t="inlineStr">
        <is>
          <t>Any anti-rotation core</t>
        </is>
      </c>
      <c r="E17" s="32" t="inlineStr">
        <is>
          <t>Accessory</t>
        </is>
      </c>
      <c r="F17" s="32" t="n"/>
      <c r="G17" s="32" t="n"/>
      <c r="H17" s="32" t="n"/>
      <c r="I17" s="32" t="n"/>
      <c r="J17" s="32" t="n"/>
    </row>
    <row r="18" ht="15" customHeight="1" s="21">
      <c r="A18" s="32" t="inlineStr">
        <is>
          <t>Full body ×3</t>
        </is>
      </c>
      <c r="B18" s="32" t="inlineStr">
        <is>
          <t>Full body A</t>
        </is>
      </c>
      <c r="C18" s="32" t="n">
        <v>1</v>
      </c>
      <c r="D18" s="32" t="inlineStr">
        <is>
          <t>Any squat</t>
        </is>
      </c>
      <c r="E18" s="32" t="inlineStr">
        <is>
          <t>Main</t>
        </is>
      </c>
      <c r="F18" s="32" t="n"/>
      <c r="G18" s="32" t="n"/>
      <c r="H18" s="32" t="n"/>
      <c r="I18" s="32" t="n"/>
      <c r="J18" s="32" t="n"/>
    </row>
    <row r="19" ht="15" customHeight="1" s="21">
      <c r="A19" s="32" t="inlineStr">
        <is>
          <t>Full body ×3</t>
        </is>
      </c>
      <c r="B19" s="32" t="inlineStr">
        <is>
          <t>Full body A</t>
        </is>
      </c>
      <c r="C19" s="32" t="n">
        <v>2</v>
      </c>
      <c r="D19" s="32" t="inlineStr">
        <is>
          <t>Any horizontal push (bench, press-up)</t>
        </is>
      </c>
      <c r="E19" s="32" t="inlineStr">
        <is>
          <t>Main</t>
        </is>
      </c>
      <c r="F19" s="32" t="n"/>
      <c r="G19" s="32" t="n"/>
      <c r="H19" s="32" t="n"/>
      <c r="I19" s="32" t="n"/>
      <c r="J19" s="32" t="n"/>
    </row>
    <row r="20" ht="15" customHeight="1" s="21">
      <c r="A20" s="32" t="inlineStr">
        <is>
          <t>Full body ×3</t>
        </is>
      </c>
      <c r="B20" s="32" t="inlineStr">
        <is>
          <t>Full body A</t>
        </is>
      </c>
      <c r="C20" s="32" t="n">
        <v>3</v>
      </c>
      <c r="D20" s="32" t="inlineStr">
        <is>
          <t>Any horizontal pull (row)</t>
        </is>
      </c>
      <c r="E20" s="32" t="inlineStr">
        <is>
          <t>Accessory</t>
        </is>
      </c>
      <c r="F20" s="32" t="n"/>
      <c r="G20" s="32" t="n"/>
      <c r="H20" s="32" t="n"/>
      <c r="I20" s="32" t="n"/>
      <c r="J20" s="32" t="n"/>
    </row>
    <row r="21" ht="15" customHeight="1" s="21">
      <c r="A21" s="32" t="inlineStr">
        <is>
          <t>Full body ×3</t>
        </is>
      </c>
      <c r="B21" s="32" t="inlineStr">
        <is>
          <t>Full body A</t>
        </is>
      </c>
      <c r="C21" s="32" t="n">
        <v>4</v>
      </c>
      <c r="D21" s="32" t="inlineStr">
        <is>
          <t>Any calf raise</t>
        </is>
      </c>
      <c r="E21" s="32" t="inlineStr">
        <is>
          <t>Accessory</t>
        </is>
      </c>
      <c r="F21" s="32" t="n"/>
      <c r="G21" s="32" t="n"/>
      <c r="H21" s="32" t="n"/>
      <c r="I21" s="32" t="n"/>
      <c r="J21" s="32" t="n"/>
    </row>
    <row r="22" ht="15" customHeight="1" s="21">
      <c r="A22" s="32" t="inlineStr">
        <is>
          <t>Full body ×3</t>
        </is>
      </c>
      <c r="B22" s="32" t="inlineStr">
        <is>
          <t>Full body A</t>
        </is>
      </c>
      <c r="C22" s="32" t="n">
        <v>5</v>
      </c>
      <c r="D22" s="32" t="inlineStr">
        <is>
          <t>Any core</t>
        </is>
      </c>
      <c r="E22" s="32" t="inlineStr">
        <is>
          <t>Accessory</t>
        </is>
      </c>
      <c r="F22" s="32" t="n"/>
      <c r="G22" s="32" t="n"/>
      <c r="H22" s="32" t="n"/>
      <c r="I22" s="32" t="n"/>
      <c r="J22" s="32" t="n"/>
    </row>
    <row r="23" ht="15" customHeight="1" s="21">
      <c r="A23" s="32" t="inlineStr">
        <is>
          <t>Full body ×3</t>
        </is>
      </c>
      <c r="B23" s="32" t="inlineStr">
        <is>
          <t>Full body B</t>
        </is>
      </c>
      <c r="C23" s="32" t="n">
        <v>1</v>
      </c>
      <c r="D23" s="32" t="inlineStr">
        <is>
          <t>Any hinge (deadlift)</t>
        </is>
      </c>
      <c r="E23" s="32" t="inlineStr">
        <is>
          <t>Main</t>
        </is>
      </c>
      <c r="F23" s="32" t="n"/>
      <c r="G23" s="32" t="n"/>
      <c r="H23" s="32" t="n"/>
      <c r="I23" s="32" t="n"/>
      <c r="J23" s="32" t="n"/>
    </row>
    <row r="24" ht="15" customHeight="1" s="21">
      <c r="A24" s="32" t="inlineStr">
        <is>
          <t>Full body ×3</t>
        </is>
      </c>
      <c r="B24" s="32" t="inlineStr">
        <is>
          <t>Full body B</t>
        </is>
      </c>
      <c r="C24" s="32" t="n">
        <v>2</v>
      </c>
      <c r="D24" s="32" t="inlineStr">
        <is>
          <t>Any vertical push (overhead press)</t>
        </is>
      </c>
      <c r="E24" s="32" t="inlineStr">
        <is>
          <t>Main</t>
        </is>
      </c>
      <c r="F24" s="32" t="n"/>
      <c r="G24" s="32" t="n"/>
      <c r="H24" s="32" t="n"/>
      <c r="I24" s="32" t="n"/>
      <c r="J24" s="32" t="n"/>
    </row>
    <row r="25" ht="15" customHeight="1" s="21">
      <c r="A25" s="32" t="inlineStr">
        <is>
          <t>Full body ×3</t>
        </is>
      </c>
      <c r="B25" s="32" t="inlineStr">
        <is>
          <t>Full body B</t>
        </is>
      </c>
      <c r="C25" s="32" t="n">
        <v>3</v>
      </c>
      <c r="D25" s="32" t="inlineStr">
        <is>
          <t>Any vertical pull (pull-up, pulldown)</t>
        </is>
      </c>
      <c r="E25" s="32" t="inlineStr">
        <is>
          <t>Accessory</t>
        </is>
      </c>
      <c r="F25" s="32" t="n"/>
      <c r="G25" s="32" t="n"/>
      <c r="H25" s="32" t="n"/>
      <c r="I25" s="32" t="n"/>
      <c r="J25" s="32" t="n"/>
    </row>
    <row r="26" ht="15" customHeight="1" s="21">
      <c r="A26" s="32" t="inlineStr">
        <is>
          <t>Full body ×3</t>
        </is>
      </c>
      <c r="B26" s="32" t="inlineStr">
        <is>
          <t>Full body B</t>
        </is>
      </c>
      <c r="C26" s="32" t="n">
        <v>4</v>
      </c>
      <c r="D26" s="32" t="inlineStr">
        <is>
          <t>Any lunge / split squat</t>
        </is>
      </c>
      <c r="E26" s="32" t="inlineStr">
        <is>
          <t>Accessory</t>
        </is>
      </c>
      <c r="F26" s="32" t="n"/>
      <c r="G26" s="32" t="n"/>
      <c r="H26" s="32" t="n"/>
      <c r="I26" s="32" t="n"/>
      <c r="J26" s="32" t="n"/>
    </row>
    <row r="27" ht="15" customHeight="1" s="21">
      <c r="A27" s="32" t="inlineStr">
        <is>
          <t>Full body ×3</t>
        </is>
      </c>
      <c r="B27" s="32" t="inlineStr">
        <is>
          <t>Full body B</t>
        </is>
      </c>
      <c r="C27" s="32" t="n">
        <v>5</v>
      </c>
      <c r="D27" s="32" t="inlineStr">
        <is>
          <t>Any anti-rotation core</t>
        </is>
      </c>
      <c r="E27" s="32" t="inlineStr">
        <is>
          <t>Accessory</t>
        </is>
      </c>
      <c r="F27" s="32" t="n"/>
      <c r="G27" s="32" t="n"/>
      <c r="H27" s="32" t="n"/>
      <c r="I27" s="32" t="n"/>
      <c r="J27" s="32" t="n"/>
    </row>
    <row r="28" ht="15" customHeight="1" s="21">
      <c r="A28" s="32" t="inlineStr">
        <is>
          <t>Full body ×3</t>
        </is>
      </c>
      <c r="B28" s="32" t="inlineStr">
        <is>
          <t>Full body C</t>
        </is>
      </c>
      <c r="C28" s="32" t="n">
        <v>1</v>
      </c>
      <c r="D28" s="32" t="inlineStr">
        <is>
          <t>Any lunge / split squat</t>
        </is>
      </c>
      <c r="E28" s="32" t="inlineStr">
        <is>
          <t>Main</t>
        </is>
      </c>
      <c r="F28" s="32" t="n"/>
      <c r="G28" s="32" t="n"/>
      <c r="H28" s="32" t="n"/>
      <c r="I28" s="32" t="n"/>
      <c r="J28" s="32" t="n"/>
    </row>
    <row r="29" ht="15" customHeight="1" s="21">
      <c r="A29" s="32" t="inlineStr">
        <is>
          <t>Full body ×3</t>
        </is>
      </c>
      <c r="B29" s="32" t="inlineStr">
        <is>
          <t>Full body C</t>
        </is>
      </c>
      <c r="C29" s="32" t="n">
        <v>2</v>
      </c>
      <c r="D29" s="32" t="inlineStr">
        <is>
          <t>Any vertical pull (pull-up, pulldown)</t>
        </is>
      </c>
      <c r="E29" s="32" t="inlineStr">
        <is>
          <t>Main</t>
        </is>
      </c>
      <c r="F29" s="32" t="n"/>
      <c r="G29" s="32" t="n"/>
      <c r="H29" s="32" t="n"/>
      <c r="I29" s="32" t="n"/>
      <c r="J29" s="32" t="n"/>
    </row>
    <row r="30" ht="15" customHeight="1" s="21">
      <c r="A30" s="32" t="inlineStr">
        <is>
          <t>Full body ×3</t>
        </is>
      </c>
      <c r="B30" s="32" t="inlineStr">
        <is>
          <t>Full body C</t>
        </is>
      </c>
      <c r="C30" s="32" t="n">
        <v>3</v>
      </c>
      <c r="D30" s="32" t="inlineStr">
        <is>
          <t>Incline Dumbbell Press</t>
        </is>
      </c>
      <c r="E30" s="32" t="inlineStr">
        <is>
          <t>Accessory</t>
        </is>
      </c>
      <c r="F30" s="32" t="n"/>
      <c r="G30" s="32" t="n"/>
      <c r="H30" s="32" t="n"/>
      <c r="I30" s="32" t="n"/>
      <c r="J30" s="32" t="n"/>
    </row>
    <row r="31" ht="15" customHeight="1" s="21">
      <c r="A31" s="32" t="inlineStr">
        <is>
          <t>Full body ×3</t>
        </is>
      </c>
      <c r="B31" s="32" t="inlineStr">
        <is>
          <t>Full body C</t>
        </is>
      </c>
      <c r="C31" s="32" t="n">
        <v>4</v>
      </c>
      <c r="D31" s="32" t="inlineStr">
        <is>
          <t>Barbell Hip Thrust</t>
        </is>
      </c>
      <c r="E31" s="32" t="inlineStr">
        <is>
          <t>Accessory</t>
        </is>
      </c>
      <c r="F31" s="32" t="n"/>
      <c r="G31" s="32" t="n"/>
      <c r="H31" s="32" t="n"/>
      <c r="I31" s="32" t="n"/>
      <c r="J31" s="32" t="n"/>
    </row>
    <row r="32" ht="15" customHeight="1" s="21">
      <c r="A32" s="32" t="inlineStr">
        <is>
          <t>Full body ×3</t>
        </is>
      </c>
      <c r="B32" s="32" t="inlineStr">
        <is>
          <t>Full body C</t>
        </is>
      </c>
      <c r="C32" s="32" t="n">
        <v>5</v>
      </c>
      <c r="D32" s="32" t="inlineStr">
        <is>
          <t>Single-Leg Calf Raise</t>
        </is>
      </c>
      <c r="E32" s="32" t="inlineStr">
        <is>
          <t>Accessory</t>
        </is>
      </c>
      <c r="F32" s="32" t="n"/>
      <c r="G32" s="32" t="n"/>
      <c r="H32" s="32" t="n"/>
      <c r="I32" s="32" t="n"/>
      <c r="J32" s="32" t="n"/>
    </row>
    <row r="33" ht="15" customHeight="1" s="21">
      <c r="A33" s="32" t="inlineStr">
        <is>
          <t>Full body ×3</t>
        </is>
      </c>
      <c r="B33" s="32" t="inlineStr">
        <is>
          <t>Full body C</t>
        </is>
      </c>
      <c r="C33" s="32" t="n">
        <v>6</v>
      </c>
      <c r="D33" s="32" t="inlineStr">
        <is>
          <t>Side Plank</t>
        </is>
      </c>
      <c r="E33" s="32" t="inlineStr">
        <is>
          <t>Accessory</t>
        </is>
      </c>
      <c r="F33" s="32" t="n"/>
      <c r="G33" s="32" t="n"/>
      <c r="H33" s="32" t="n"/>
      <c r="I33" s="32" t="n"/>
      <c r="J33" s="32" t="n"/>
    </row>
    <row r="34" ht="15" customHeight="1" s="21">
      <c r="A34" s="32" t="inlineStr">
        <is>
          <t>Upper / Lower</t>
        </is>
      </c>
      <c r="B34" s="32" t="inlineStr">
        <is>
          <t>Upper A</t>
        </is>
      </c>
      <c r="C34" s="32" t="n">
        <v>1</v>
      </c>
      <c r="D34" s="32" t="inlineStr">
        <is>
          <t>Any horizontal push (bench, press-up)</t>
        </is>
      </c>
      <c r="E34" s="32" t="inlineStr">
        <is>
          <t>Main</t>
        </is>
      </c>
      <c r="F34" s="32" t="n"/>
      <c r="G34" s="32" t="n"/>
      <c r="H34" s="32" t="n"/>
      <c r="I34" s="32" t="n"/>
      <c r="J34" s="32" t="n"/>
    </row>
    <row r="35" ht="15" customHeight="1" s="21">
      <c r="A35" s="32" t="inlineStr">
        <is>
          <t>Upper / Lower</t>
        </is>
      </c>
      <c r="B35" s="32" t="inlineStr">
        <is>
          <t>Upper A</t>
        </is>
      </c>
      <c r="C35" s="32" t="n">
        <v>2</v>
      </c>
      <c r="D35" s="32" t="inlineStr">
        <is>
          <t>Any horizontal pull (row)</t>
        </is>
      </c>
      <c r="E35" s="32" t="inlineStr">
        <is>
          <t>Main</t>
        </is>
      </c>
      <c r="F35" s="32" t="n"/>
      <c r="G35" s="32" t="n"/>
      <c r="H35" s="32" t="n"/>
      <c r="I35" s="32" t="n"/>
      <c r="J35" s="32" t="n"/>
    </row>
    <row r="36" ht="15" customHeight="1" s="21">
      <c r="A36" s="32" t="inlineStr">
        <is>
          <t>Upper / Lower</t>
        </is>
      </c>
      <c r="B36" s="32" t="inlineStr">
        <is>
          <t>Upper A</t>
        </is>
      </c>
      <c r="C36" s="32" t="n">
        <v>3</v>
      </c>
      <c r="D36" s="32" t="inlineStr">
        <is>
          <t>Any vertical push (overhead press)</t>
        </is>
      </c>
      <c r="E36" s="32" t="inlineStr">
        <is>
          <t>Accessory</t>
        </is>
      </c>
      <c r="F36" s="32" t="n"/>
      <c r="G36" s="32" t="n"/>
      <c r="H36" s="32" t="n"/>
      <c r="I36" s="32" t="n"/>
      <c r="J36" s="32" t="n"/>
    </row>
    <row r="37" ht="15" customHeight="1" s="21">
      <c r="A37" s="32" t="inlineStr">
        <is>
          <t>Upper / Lower</t>
        </is>
      </c>
      <c r="B37" s="32" t="inlineStr">
        <is>
          <t>Upper A</t>
        </is>
      </c>
      <c r="C37" s="32" t="n">
        <v>4</v>
      </c>
      <c r="D37" s="32" t="inlineStr">
        <is>
          <t>Any vertical pull (pull-up, pulldown)</t>
        </is>
      </c>
      <c r="E37" s="32" t="inlineStr">
        <is>
          <t>Accessory</t>
        </is>
      </c>
      <c r="F37" s="32" t="n"/>
      <c r="G37" s="32" t="n"/>
      <c r="H37" s="32" t="n"/>
      <c r="I37" s="32" t="n"/>
      <c r="J37" s="32" t="n"/>
    </row>
    <row r="38" ht="15" customHeight="1" s="21">
      <c r="A38" s="32" t="inlineStr">
        <is>
          <t>Upper / Lower</t>
        </is>
      </c>
      <c r="B38" s="32" t="inlineStr">
        <is>
          <t>Upper A</t>
        </is>
      </c>
      <c r="C38" s="32" t="n">
        <v>5</v>
      </c>
      <c r="D38" s="32" t="inlineStr">
        <is>
          <t>Any arms</t>
        </is>
      </c>
      <c r="E38" s="32" t="inlineStr">
        <is>
          <t>Accessory</t>
        </is>
      </c>
      <c r="F38" s="32" t="n"/>
      <c r="G38" s="32" t="n"/>
      <c r="H38" s="32" t="n"/>
      <c r="I38" s="32" t="n"/>
      <c r="J38" s="32" t="n"/>
    </row>
    <row r="39" ht="15" customHeight="1" s="21">
      <c r="A39" s="32" t="inlineStr">
        <is>
          <t>Upper / Lower</t>
        </is>
      </c>
      <c r="B39" s="32" t="inlineStr">
        <is>
          <t>Lower A</t>
        </is>
      </c>
      <c r="C39" s="32" t="n">
        <v>1</v>
      </c>
      <c r="D39" s="32" t="inlineStr">
        <is>
          <t>Any squat</t>
        </is>
      </c>
      <c r="E39" s="32" t="inlineStr">
        <is>
          <t>Main</t>
        </is>
      </c>
      <c r="F39" s="32" t="n"/>
      <c r="G39" s="32" t="n"/>
      <c r="H39" s="32" t="n"/>
      <c r="I39" s="32" t="n"/>
      <c r="J39" s="32" t="n"/>
    </row>
    <row r="40" ht="15" customHeight="1" s="21">
      <c r="A40" s="32" t="inlineStr">
        <is>
          <t>Upper / Lower</t>
        </is>
      </c>
      <c r="B40" s="32" t="inlineStr">
        <is>
          <t>Lower A</t>
        </is>
      </c>
      <c r="C40" s="32" t="n">
        <v>2</v>
      </c>
      <c r="D40" s="32" t="inlineStr">
        <is>
          <t>Any hinge accessory (RDL, bridge)</t>
        </is>
      </c>
      <c r="E40" s="32" t="inlineStr">
        <is>
          <t>Accessory</t>
        </is>
      </c>
      <c r="F40" s="32" t="n"/>
      <c r="G40" s="32" t="n"/>
      <c r="H40" s="32" t="n"/>
      <c r="I40" s="32" t="n"/>
      <c r="J40" s="32" t="n"/>
    </row>
    <row r="41" ht="15" customHeight="1" s="21">
      <c r="A41" s="32" t="inlineStr">
        <is>
          <t>Upper / Lower</t>
        </is>
      </c>
      <c r="B41" s="32" t="inlineStr">
        <is>
          <t>Lower A</t>
        </is>
      </c>
      <c r="C41" s="32" t="n">
        <v>3</v>
      </c>
      <c r="D41" s="32" t="inlineStr">
        <is>
          <t>Any lunge / split squat</t>
        </is>
      </c>
      <c r="E41" s="32" t="inlineStr">
        <is>
          <t>Accessory</t>
        </is>
      </c>
      <c r="F41" s="32" t="n"/>
      <c r="G41" s="32" t="n"/>
      <c r="H41" s="32" t="n"/>
      <c r="I41" s="32" t="n"/>
      <c r="J41" s="32" t="n"/>
    </row>
    <row r="42" ht="15" customHeight="1" s="21">
      <c r="A42" s="32" t="inlineStr">
        <is>
          <t>Upper / Lower</t>
        </is>
      </c>
      <c r="B42" s="32" t="inlineStr">
        <is>
          <t>Lower A</t>
        </is>
      </c>
      <c r="C42" s="32" t="n">
        <v>4</v>
      </c>
      <c r="D42" s="32" t="inlineStr">
        <is>
          <t>Any calf raise</t>
        </is>
      </c>
      <c r="E42" s="32" t="inlineStr">
        <is>
          <t>Accessory</t>
        </is>
      </c>
      <c r="F42" s="32" t="n"/>
      <c r="G42" s="32" t="n"/>
      <c r="H42" s="32" t="n"/>
      <c r="I42" s="32" t="n"/>
      <c r="J42" s="32" t="n"/>
    </row>
    <row r="43" ht="15" customHeight="1" s="21">
      <c r="A43" s="32" t="inlineStr">
        <is>
          <t>Upper / Lower</t>
        </is>
      </c>
      <c r="B43" s="32" t="inlineStr">
        <is>
          <t>Lower A</t>
        </is>
      </c>
      <c r="C43" s="32" t="n">
        <v>5</v>
      </c>
      <c r="D43" s="32" t="inlineStr">
        <is>
          <t>Any core</t>
        </is>
      </c>
      <c r="E43" s="32" t="inlineStr">
        <is>
          <t>Accessory</t>
        </is>
      </c>
      <c r="F43" s="32" t="n"/>
      <c r="G43" s="32" t="n"/>
      <c r="H43" s="32" t="n"/>
      <c r="I43" s="32" t="n"/>
      <c r="J43" s="32" t="n"/>
    </row>
    <row r="44" ht="15" customHeight="1" s="21">
      <c r="A44" s="32" t="inlineStr">
        <is>
          <t>Upper / Lower</t>
        </is>
      </c>
      <c r="B44" s="32" t="inlineStr">
        <is>
          <t>Upper B</t>
        </is>
      </c>
      <c r="C44" s="32" t="n">
        <v>1</v>
      </c>
      <c r="D44" s="32" t="inlineStr">
        <is>
          <t>Any vertical push (overhead press)</t>
        </is>
      </c>
      <c r="E44" s="32" t="inlineStr">
        <is>
          <t>Main</t>
        </is>
      </c>
      <c r="F44" s="32" t="n"/>
      <c r="G44" s="32" t="n"/>
      <c r="H44" s="32" t="n"/>
      <c r="I44" s="32" t="n"/>
      <c r="J44" s="32" t="n"/>
    </row>
    <row r="45" ht="15" customHeight="1" s="21">
      <c r="A45" s="32" t="inlineStr">
        <is>
          <t>Upper / Lower</t>
        </is>
      </c>
      <c r="B45" s="32" t="inlineStr">
        <is>
          <t>Upper B</t>
        </is>
      </c>
      <c r="C45" s="32" t="n">
        <v>2</v>
      </c>
      <c r="D45" s="32" t="inlineStr">
        <is>
          <t>Any vertical pull (pull-up, pulldown)</t>
        </is>
      </c>
      <c r="E45" s="32" t="inlineStr">
        <is>
          <t>Main</t>
        </is>
      </c>
      <c r="F45" s="32" t="n"/>
      <c r="G45" s="32" t="n"/>
      <c r="H45" s="32" t="n"/>
      <c r="I45" s="32" t="n"/>
      <c r="J45" s="32" t="n"/>
    </row>
    <row r="46" ht="15" customHeight="1" s="21">
      <c r="A46" s="32" t="inlineStr">
        <is>
          <t>Upper / Lower</t>
        </is>
      </c>
      <c r="B46" s="32" t="inlineStr">
        <is>
          <t>Upper B</t>
        </is>
      </c>
      <c r="C46" s="32" t="n">
        <v>3</v>
      </c>
      <c r="D46" s="32" t="inlineStr">
        <is>
          <t>Any horizontal push (bench, press-up)</t>
        </is>
      </c>
      <c r="E46" s="32" t="inlineStr">
        <is>
          <t>Accessory</t>
        </is>
      </c>
      <c r="F46" s="32" t="n"/>
      <c r="G46" s="32" t="n"/>
      <c r="H46" s="32" t="n"/>
      <c r="I46" s="32" t="n"/>
      <c r="J46" s="32" t="n"/>
    </row>
    <row r="47" ht="15" customHeight="1" s="21">
      <c r="A47" s="32" t="inlineStr">
        <is>
          <t>Upper / Lower</t>
        </is>
      </c>
      <c r="B47" s="32" t="inlineStr">
        <is>
          <t>Upper B</t>
        </is>
      </c>
      <c r="C47" s="32" t="n">
        <v>4</v>
      </c>
      <c r="D47" s="32" t="inlineStr">
        <is>
          <t>Any horizontal pull (row)</t>
        </is>
      </c>
      <c r="E47" s="32" t="inlineStr">
        <is>
          <t>Accessory</t>
        </is>
      </c>
      <c r="F47" s="32" t="n"/>
      <c r="G47" s="32" t="n"/>
      <c r="H47" s="32" t="n"/>
      <c r="I47" s="32" t="n"/>
      <c r="J47" s="32" t="n"/>
    </row>
    <row r="48" ht="15" customHeight="1" s="21">
      <c r="A48" s="32" t="inlineStr">
        <is>
          <t>Upper / Lower</t>
        </is>
      </c>
      <c r="B48" s="32" t="inlineStr">
        <is>
          <t>Upper B</t>
        </is>
      </c>
      <c r="C48" s="32" t="n">
        <v>5</v>
      </c>
      <c r="D48" s="32" t="inlineStr">
        <is>
          <t>Any core</t>
        </is>
      </c>
      <c r="E48" s="32" t="inlineStr">
        <is>
          <t>Accessory</t>
        </is>
      </c>
      <c r="F48" s="32" t="n"/>
      <c r="G48" s="32" t="n"/>
      <c r="H48" s="32" t="n"/>
      <c r="I48" s="32" t="n"/>
      <c r="J48" s="32" t="n"/>
    </row>
    <row r="49" ht="15" customHeight="1" s="21">
      <c r="A49" s="32" t="inlineStr">
        <is>
          <t>Upper / Lower</t>
        </is>
      </c>
      <c r="B49" s="32" t="inlineStr">
        <is>
          <t>Lower B</t>
        </is>
      </c>
      <c r="C49" s="32" t="n">
        <v>1</v>
      </c>
      <c r="D49" s="32" t="inlineStr">
        <is>
          <t>Any hinge (deadlift)</t>
        </is>
      </c>
      <c r="E49" s="32" t="inlineStr">
        <is>
          <t>Main</t>
        </is>
      </c>
      <c r="F49" s="32" t="n"/>
      <c r="G49" s="32" t="n"/>
      <c r="H49" s="32" t="n"/>
      <c r="I49" s="32" t="n"/>
      <c r="J49" s="32" t="n"/>
    </row>
    <row r="50" ht="15" customHeight="1" s="21">
      <c r="A50" s="32" t="inlineStr">
        <is>
          <t>Upper / Lower</t>
        </is>
      </c>
      <c r="B50" s="32" t="inlineStr">
        <is>
          <t>Lower B</t>
        </is>
      </c>
      <c r="C50" s="32" t="n">
        <v>2</v>
      </c>
      <c r="D50" s="32" t="inlineStr">
        <is>
          <t>Any lunge / split squat</t>
        </is>
      </c>
      <c r="E50" s="32" t="inlineStr">
        <is>
          <t>Main</t>
        </is>
      </c>
      <c r="F50" s="32" t="n"/>
      <c r="G50" s="32" t="n"/>
      <c r="H50" s="32" t="n"/>
      <c r="I50" s="32" t="n"/>
      <c r="J50" s="32" t="n"/>
    </row>
    <row r="51" ht="15" customHeight="1" s="21">
      <c r="A51" s="32" t="inlineStr">
        <is>
          <t>Upper / Lower</t>
        </is>
      </c>
      <c r="B51" s="32" t="inlineStr">
        <is>
          <t>Lower B</t>
        </is>
      </c>
      <c r="C51" s="32" t="n">
        <v>3</v>
      </c>
      <c r="D51" s="32" t="inlineStr">
        <is>
          <t>Any calf raise</t>
        </is>
      </c>
      <c r="E51" s="32" t="inlineStr">
        <is>
          <t>Accessory</t>
        </is>
      </c>
      <c r="F51" s="32" t="n"/>
      <c r="G51" s="32" t="n"/>
      <c r="H51" s="32" t="n"/>
      <c r="I51" s="32" t="n"/>
      <c r="J51" s="32" t="n"/>
    </row>
    <row r="52" ht="15" customHeight="1" s="21">
      <c r="A52" s="32" t="inlineStr">
        <is>
          <t>Upper / Lower</t>
        </is>
      </c>
      <c r="B52" s="32" t="inlineStr">
        <is>
          <t>Lower B</t>
        </is>
      </c>
      <c r="C52" s="32" t="n">
        <v>4</v>
      </c>
      <c r="D52" s="32" t="inlineStr">
        <is>
          <t>Any anti-rotation core</t>
        </is>
      </c>
      <c r="E52" s="32" t="inlineStr">
        <is>
          <t>Accessory</t>
        </is>
      </c>
      <c r="F52" s="32" t="n"/>
      <c r="G52" s="32" t="n"/>
      <c r="H52" s="32" t="n"/>
      <c r="I52" s="32" t="n"/>
      <c r="J52" s="32" t="n"/>
    </row>
    <row r="53" ht="15" customHeight="1" s="21">
      <c r="A53" s="32" t="inlineStr">
        <is>
          <t>Push / Pull / Legs</t>
        </is>
      </c>
      <c r="B53" s="32" t="inlineStr">
        <is>
          <t>Push</t>
        </is>
      </c>
      <c r="C53" s="32" t="n">
        <v>1</v>
      </c>
      <c r="D53" s="32" t="inlineStr">
        <is>
          <t>Any horizontal push (bench, press-up)</t>
        </is>
      </c>
      <c r="E53" s="32" t="inlineStr">
        <is>
          <t>Main</t>
        </is>
      </c>
      <c r="F53" s="32" t="n"/>
      <c r="G53" s="32" t="n"/>
      <c r="H53" s="32" t="n"/>
      <c r="I53" s="32" t="n"/>
      <c r="J53" s="32" t="n"/>
    </row>
    <row r="54" ht="15" customHeight="1" s="21">
      <c r="A54" s="32" t="inlineStr">
        <is>
          <t>Push / Pull / Legs</t>
        </is>
      </c>
      <c r="B54" s="32" t="inlineStr">
        <is>
          <t>Push</t>
        </is>
      </c>
      <c r="C54" s="32" t="n">
        <v>2</v>
      </c>
      <c r="D54" s="32" t="inlineStr">
        <is>
          <t>Any vertical push (overhead press)</t>
        </is>
      </c>
      <c r="E54" s="32" t="inlineStr">
        <is>
          <t>Main</t>
        </is>
      </c>
      <c r="F54" s="32" t="n"/>
      <c r="G54" s="32" t="n"/>
      <c r="H54" s="32" t="n"/>
      <c r="I54" s="32" t="n"/>
      <c r="J54" s="32" t="n"/>
    </row>
    <row r="55" ht="15" customHeight="1" s="21">
      <c r="A55" s="32" t="inlineStr">
        <is>
          <t>Push / Pull / Legs</t>
        </is>
      </c>
      <c r="B55" s="32" t="inlineStr">
        <is>
          <t>Push</t>
        </is>
      </c>
      <c r="C55" s="32" t="n">
        <v>3</v>
      </c>
      <c r="D55" s="32" t="inlineStr">
        <is>
          <t>Incline Dumbbell Press</t>
        </is>
      </c>
      <c r="E55" s="32" t="inlineStr">
        <is>
          <t>Accessory</t>
        </is>
      </c>
      <c r="F55" s="32" t="n"/>
      <c r="G55" s="32" t="n"/>
      <c r="H55" s="32" t="n"/>
      <c r="I55" s="32" t="n"/>
      <c r="J55" s="32" t="n"/>
    </row>
    <row r="56" ht="15" customHeight="1" s="21">
      <c r="A56" s="32" t="inlineStr">
        <is>
          <t>Push / Pull / Legs</t>
        </is>
      </c>
      <c r="B56" s="32" t="inlineStr">
        <is>
          <t>Push</t>
        </is>
      </c>
      <c r="C56" s="32" t="n">
        <v>4</v>
      </c>
      <c r="D56" s="32" t="inlineStr">
        <is>
          <t>Dumbbell Lateral Raise</t>
        </is>
      </c>
      <c r="E56" s="32" t="inlineStr">
        <is>
          <t>Accessory</t>
        </is>
      </c>
      <c r="F56" s="32" t="n"/>
      <c r="G56" s="32" t="n"/>
      <c r="H56" s="32" t="n"/>
      <c r="I56" s="32" t="n"/>
      <c r="J56" s="32" t="n"/>
    </row>
    <row r="57" ht="15" customHeight="1" s="21">
      <c r="A57" s="32" t="inlineStr">
        <is>
          <t>Push / Pull / Legs</t>
        </is>
      </c>
      <c r="B57" s="32" t="inlineStr">
        <is>
          <t>Push</t>
        </is>
      </c>
      <c r="C57" s="32" t="n">
        <v>5</v>
      </c>
      <c r="D57" s="32" t="inlineStr">
        <is>
          <t>Triceps Pushdown</t>
        </is>
      </c>
      <c r="E57" s="32" t="inlineStr">
        <is>
          <t>Accessory</t>
        </is>
      </c>
      <c r="F57" s="32" t="n"/>
      <c r="G57" s="32" t="n"/>
      <c r="H57" s="32" t="n"/>
      <c r="I57" s="32" t="n"/>
      <c r="J57" s="32" t="n"/>
    </row>
    <row r="58" ht="15" customHeight="1" s="21">
      <c r="A58" s="32" t="inlineStr">
        <is>
          <t>Push / Pull / Legs</t>
        </is>
      </c>
      <c r="B58" s="32" t="inlineStr">
        <is>
          <t>Pull</t>
        </is>
      </c>
      <c r="C58" s="32" t="n">
        <v>1</v>
      </c>
      <c r="D58" s="32" t="inlineStr">
        <is>
          <t>Any vertical pull (pull-up, pulldown)</t>
        </is>
      </c>
      <c r="E58" s="32" t="inlineStr">
        <is>
          <t>Main</t>
        </is>
      </c>
      <c r="F58" s="32" t="n"/>
      <c r="G58" s="32" t="n"/>
      <c r="H58" s="32" t="n"/>
      <c r="I58" s="32" t="n"/>
      <c r="J58" s="32" t="n"/>
    </row>
    <row r="59" ht="15" customHeight="1" s="21">
      <c r="A59" s="32" t="inlineStr">
        <is>
          <t>Push / Pull / Legs</t>
        </is>
      </c>
      <c r="B59" s="32" t="inlineStr">
        <is>
          <t>Pull</t>
        </is>
      </c>
      <c r="C59" s="32" t="n">
        <v>2</v>
      </c>
      <c r="D59" s="32" t="inlineStr">
        <is>
          <t>Any horizontal pull (row)</t>
        </is>
      </c>
      <c r="E59" s="32" t="inlineStr">
        <is>
          <t>Main</t>
        </is>
      </c>
      <c r="F59" s="32" t="n"/>
      <c r="G59" s="32" t="n"/>
      <c r="H59" s="32" t="n"/>
      <c r="I59" s="32" t="n"/>
      <c r="J59" s="32" t="n"/>
    </row>
    <row r="60" ht="15" customHeight="1" s="21">
      <c r="A60" s="32" t="inlineStr">
        <is>
          <t>Push / Pull / Legs</t>
        </is>
      </c>
      <c r="B60" s="32" t="inlineStr">
        <is>
          <t>Pull</t>
        </is>
      </c>
      <c r="C60" s="32" t="n">
        <v>3</v>
      </c>
      <c r="D60" s="32" t="inlineStr">
        <is>
          <t>Face Pull</t>
        </is>
      </c>
      <c r="E60" s="32" t="inlineStr">
        <is>
          <t>Accessory</t>
        </is>
      </c>
      <c r="F60" s="32" t="n"/>
      <c r="G60" s="32" t="n"/>
      <c r="H60" s="32" t="n"/>
      <c r="I60" s="32" t="n"/>
      <c r="J60" s="32" t="n"/>
    </row>
    <row r="61" ht="15" customHeight="1" s="21">
      <c r="A61" s="32" t="inlineStr">
        <is>
          <t>Push / Pull / Legs</t>
        </is>
      </c>
      <c r="B61" s="32" t="inlineStr">
        <is>
          <t>Pull</t>
        </is>
      </c>
      <c r="C61" s="32" t="n">
        <v>4</v>
      </c>
      <c r="D61" s="32" t="inlineStr">
        <is>
          <t>Rear Delt Fly</t>
        </is>
      </c>
      <c r="E61" s="32" t="inlineStr">
        <is>
          <t>Accessory</t>
        </is>
      </c>
      <c r="F61" s="32" t="n"/>
      <c r="G61" s="32" t="n"/>
      <c r="H61" s="32" t="n"/>
      <c r="I61" s="32" t="n"/>
      <c r="J61" s="32" t="n"/>
    </row>
    <row r="62" ht="15" customHeight="1" s="21">
      <c r="A62" s="32" t="inlineStr">
        <is>
          <t>Push / Pull / Legs</t>
        </is>
      </c>
      <c r="B62" s="32" t="inlineStr">
        <is>
          <t>Pull</t>
        </is>
      </c>
      <c r="C62" s="32" t="n">
        <v>5</v>
      </c>
      <c r="D62" s="32" t="inlineStr">
        <is>
          <t>Dumbbell Curl</t>
        </is>
      </c>
      <c r="E62" s="32" t="inlineStr">
        <is>
          <t>Accessory</t>
        </is>
      </c>
      <c r="F62" s="32" t="n"/>
      <c r="G62" s="32" t="n"/>
      <c r="H62" s="32" t="n"/>
      <c r="I62" s="32" t="n"/>
      <c r="J62" s="32" t="n"/>
    </row>
    <row r="63" ht="15" customHeight="1" s="21">
      <c r="A63" s="32" t="inlineStr">
        <is>
          <t>Push / Pull / Legs</t>
        </is>
      </c>
      <c r="B63" s="32" t="inlineStr">
        <is>
          <t>Legs</t>
        </is>
      </c>
      <c r="C63" s="32" t="n">
        <v>1</v>
      </c>
      <c r="D63" s="32" t="inlineStr">
        <is>
          <t>Any squat</t>
        </is>
      </c>
      <c r="E63" s="32" t="inlineStr">
        <is>
          <t>Main</t>
        </is>
      </c>
      <c r="F63" s="32" t="n"/>
      <c r="G63" s="32" t="n"/>
      <c r="H63" s="32" t="n"/>
      <c r="I63" s="32" t="n"/>
      <c r="J63" s="32" t="n"/>
    </row>
    <row r="64" ht="15" customHeight="1" s="21">
      <c r="A64" s="32" t="inlineStr">
        <is>
          <t>Push / Pull / Legs</t>
        </is>
      </c>
      <c r="B64" s="32" t="inlineStr">
        <is>
          <t>Legs</t>
        </is>
      </c>
      <c r="C64" s="32" t="n">
        <v>2</v>
      </c>
      <c r="D64" s="32" t="inlineStr">
        <is>
          <t>Any hinge accessory (RDL, bridge)</t>
        </is>
      </c>
      <c r="E64" s="32" t="inlineStr">
        <is>
          <t>Accessory</t>
        </is>
      </c>
      <c r="F64" s="32" t="n"/>
      <c r="G64" s="32" t="n"/>
      <c r="H64" s="32" t="n"/>
      <c r="I64" s="32" t="n"/>
      <c r="J64" s="32" t="n"/>
    </row>
    <row r="65" ht="15" customHeight="1" s="21">
      <c r="A65" s="32" t="inlineStr">
        <is>
          <t>Push / Pull / Legs</t>
        </is>
      </c>
      <c r="B65" s="32" t="inlineStr">
        <is>
          <t>Legs</t>
        </is>
      </c>
      <c r="C65" s="32" t="n">
        <v>3</v>
      </c>
      <c r="D65" s="32" t="inlineStr">
        <is>
          <t>Any lunge / split squat</t>
        </is>
      </c>
      <c r="E65" s="32" t="inlineStr">
        <is>
          <t>Accessory</t>
        </is>
      </c>
      <c r="F65" s="32" t="n"/>
      <c r="G65" s="32" t="n"/>
      <c r="H65" s="32" t="n"/>
      <c r="I65" s="32" t="n"/>
      <c r="J65" s="32" t="n"/>
    </row>
    <row r="66" ht="15" customHeight="1" s="21">
      <c r="A66" s="32" t="inlineStr">
        <is>
          <t>Push / Pull / Legs</t>
        </is>
      </c>
      <c r="B66" s="32" t="inlineStr">
        <is>
          <t>Legs</t>
        </is>
      </c>
      <c r="C66" s="32" t="n">
        <v>4</v>
      </c>
      <c r="D66" s="32" t="inlineStr">
        <is>
          <t>Leg Curl</t>
        </is>
      </c>
      <c r="E66" s="32" t="inlineStr">
        <is>
          <t>Accessory</t>
        </is>
      </c>
      <c r="F66" s="32" t="n"/>
      <c r="G66" s="32" t="n"/>
      <c r="H66" s="32" t="n"/>
      <c r="I66" s="32" t="n"/>
      <c r="J66" s="32" t="n"/>
    </row>
    <row r="67" ht="15" customHeight="1" s="21">
      <c r="A67" s="32" t="inlineStr">
        <is>
          <t>Push / Pull / Legs</t>
        </is>
      </c>
      <c r="B67" s="32" t="inlineStr">
        <is>
          <t>Legs</t>
        </is>
      </c>
      <c r="C67" s="32" t="n">
        <v>5</v>
      </c>
      <c r="D67" s="32" t="inlineStr">
        <is>
          <t>Any calf raise</t>
        </is>
      </c>
      <c r="E67" s="32" t="inlineStr">
        <is>
          <t>Accessory</t>
        </is>
      </c>
      <c r="F67" s="32" t="n"/>
      <c r="G67" s="32" t="n"/>
      <c r="H67" s="32" t="n"/>
      <c r="I67" s="32" t="n"/>
      <c r="J67" s="32" t="n"/>
    </row>
    <row r="68" ht="15" customHeight="1" s="21">
      <c r="A68" s="32" t="inlineStr">
        <is>
          <t>Push / Pull / Legs</t>
        </is>
      </c>
      <c r="B68" s="32" t="inlineStr">
        <is>
          <t>Legs</t>
        </is>
      </c>
      <c r="C68" s="32" t="n">
        <v>6</v>
      </c>
      <c r="D68" s="32" t="inlineStr">
        <is>
          <t>Any core</t>
        </is>
      </c>
      <c r="E68" s="32" t="inlineStr">
        <is>
          <t>Accessory</t>
        </is>
      </c>
      <c r="F68" s="32" t="n"/>
      <c r="G68" s="32" t="n"/>
      <c r="H68" s="32" t="n"/>
      <c r="I68" s="32" t="n"/>
      <c r="J68" s="32" t="n"/>
    </row>
    <row r="69" ht="15" customHeight="1" s="21">
      <c r="A69" s="32" t="inlineStr">
        <is>
          <t>Push / Pull / Legs ×2</t>
        </is>
      </c>
      <c r="B69" s="32" t="inlineStr">
        <is>
          <t>Push A</t>
        </is>
      </c>
      <c r="C69" s="32" t="n">
        <v>1</v>
      </c>
      <c r="D69" s="32" t="inlineStr">
        <is>
          <t>Any horizontal push (bench, press-up)</t>
        </is>
      </c>
      <c r="E69" s="32" t="inlineStr">
        <is>
          <t>Main</t>
        </is>
      </c>
      <c r="F69" s="32" t="n"/>
      <c r="G69" s="32" t="n"/>
      <c r="H69" s="32" t="n"/>
      <c r="I69" s="32" t="n"/>
      <c r="J69" s="32" t="n"/>
    </row>
    <row r="70" ht="15" customHeight="1" s="21">
      <c r="A70" s="32" t="inlineStr">
        <is>
          <t>Push / Pull / Legs ×2</t>
        </is>
      </c>
      <c r="B70" s="32" t="inlineStr">
        <is>
          <t>Push A</t>
        </is>
      </c>
      <c r="C70" s="32" t="n">
        <v>2</v>
      </c>
      <c r="D70" s="32" t="inlineStr">
        <is>
          <t>Any vertical push (overhead press)</t>
        </is>
      </c>
      <c r="E70" s="32" t="inlineStr">
        <is>
          <t>Main</t>
        </is>
      </c>
      <c r="F70" s="32" t="n"/>
      <c r="G70" s="32" t="n"/>
      <c r="H70" s="32" t="n"/>
      <c r="I70" s="32" t="n"/>
      <c r="J70" s="32" t="n"/>
    </row>
    <row r="71" ht="15" customHeight="1" s="21">
      <c r="A71" s="32" t="inlineStr">
        <is>
          <t>Push / Pull / Legs ×2</t>
        </is>
      </c>
      <c r="B71" s="32" t="inlineStr">
        <is>
          <t>Push A</t>
        </is>
      </c>
      <c r="C71" s="32" t="n">
        <v>3</v>
      </c>
      <c r="D71" s="32" t="inlineStr">
        <is>
          <t>Incline Dumbbell Press</t>
        </is>
      </c>
      <c r="E71" s="32" t="inlineStr">
        <is>
          <t>Accessory</t>
        </is>
      </c>
      <c r="F71" s="32" t="n"/>
      <c r="G71" s="32" t="n"/>
      <c r="H71" s="32" t="n"/>
      <c r="I71" s="32" t="n"/>
      <c r="J71" s="32" t="n"/>
    </row>
    <row r="72" ht="15" customHeight="1" s="21">
      <c r="A72" s="32" t="inlineStr">
        <is>
          <t>Push / Pull / Legs ×2</t>
        </is>
      </c>
      <c r="B72" s="32" t="inlineStr">
        <is>
          <t>Push A</t>
        </is>
      </c>
      <c r="C72" s="32" t="n">
        <v>4</v>
      </c>
      <c r="D72" s="32" t="inlineStr">
        <is>
          <t>Dumbbell Lateral Raise</t>
        </is>
      </c>
      <c r="E72" s="32" t="inlineStr">
        <is>
          <t>Accessory</t>
        </is>
      </c>
      <c r="F72" s="32" t="n"/>
      <c r="G72" s="32" t="n"/>
      <c r="H72" s="32" t="n"/>
      <c r="I72" s="32" t="n"/>
      <c r="J72" s="32" t="n"/>
    </row>
    <row r="73" ht="15" customHeight="1" s="21">
      <c r="A73" s="32" t="inlineStr">
        <is>
          <t>Push / Pull / Legs ×2</t>
        </is>
      </c>
      <c r="B73" s="32" t="inlineStr">
        <is>
          <t>Push A</t>
        </is>
      </c>
      <c r="C73" s="32" t="n">
        <v>5</v>
      </c>
      <c r="D73" s="32" t="inlineStr">
        <is>
          <t>Triceps Pushdown</t>
        </is>
      </c>
      <c r="E73" s="32" t="inlineStr">
        <is>
          <t>Accessory</t>
        </is>
      </c>
      <c r="F73" s="32" t="n"/>
      <c r="G73" s="32" t="n"/>
      <c r="H73" s="32" t="n"/>
      <c r="I73" s="32" t="n"/>
      <c r="J73" s="32" t="n"/>
    </row>
    <row r="74" ht="15" customHeight="1" s="21">
      <c r="A74" s="32" t="inlineStr">
        <is>
          <t>Push / Pull / Legs ×2</t>
        </is>
      </c>
      <c r="B74" s="32" t="inlineStr">
        <is>
          <t>Pull A</t>
        </is>
      </c>
      <c r="C74" s="32" t="n">
        <v>1</v>
      </c>
      <c r="D74" s="32" t="inlineStr">
        <is>
          <t>Any vertical pull (pull-up, pulldown)</t>
        </is>
      </c>
      <c r="E74" s="32" t="inlineStr">
        <is>
          <t>Main</t>
        </is>
      </c>
      <c r="F74" s="32" t="n"/>
      <c r="G74" s="32" t="n"/>
      <c r="H74" s="32" t="n"/>
      <c r="I74" s="32" t="n"/>
      <c r="J74" s="32" t="n"/>
    </row>
    <row r="75" ht="15" customHeight="1" s="21">
      <c r="A75" s="32" t="inlineStr">
        <is>
          <t>Push / Pull / Legs ×2</t>
        </is>
      </c>
      <c r="B75" s="32" t="inlineStr">
        <is>
          <t>Pull A</t>
        </is>
      </c>
      <c r="C75" s="32" t="n">
        <v>2</v>
      </c>
      <c r="D75" s="32" t="inlineStr">
        <is>
          <t>Any horizontal pull (row)</t>
        </is>
      </c>
      <c r="E75" s="32" t="inlineStr">
        <is>
          <t>Main</t>
        </is>
      </c>
      <c r="F75" s="32" t="n"/>
      <c r="G75" s="32" t="n"/>
      <c r="H75" s="32" t="n"/>
      <c r="I75" s="32" t="n"/>
      <c r="J75" s="32" t="n"/>
    </row>
    <row r="76" ht="15" customHeight="1" s="21">
      <c r="A76" s="32" t="inlineStr">
        <is>
          <t>Push / Pull / Legs ×2</t>
        </is>
      </c>
      <c r="B76" s="32" t="inlineStr">
        <is>
          <t>Pull A</t>
        </is>
      </c>
      <c r="C76" s="32" t="n">
        <v>3</v>
      </c>
      <c r="D76" s="32" t="inlineStr">
        <is>
          <t>Face Pull</t>
        </is>
      </c>
      <c r="E76" s="32" t="inlineStr">
        <is>
          <t>Accessory</t>
        </is>
      </c>
      <c r="F76" s="32" t="n"/>
      <c r="G76" s="32" t="n"/>
      <c r="H76" s="32" t="n"/>
      <c r="I76" s="32" t="n"/>
      <c r="J76" s="32" t="n"/>
    </row>
    <row r="77" ht="15" customHeight="1" s="21">
      <c r="A77" s="32" t="inlineStr">
        <is>
          <t>Push / Pull / Legs ×2</t>
        </is>
      </c>
      <c r="B77" s="32" t="inlineStr">
        <is>
          <t>Pull A</t>
        </is>
      </c>
      <c r="C77" s="32" t="n">
        <v>4</v>
      </c>
      <c r="D77" s="32" t="inlineStr">
        <is>
          <t>Rear Delt Fly</t>
        </is>
      </c>
      <c r="E77" s="32" t="inlineStr">
        <is>
          <t>Accessory</t>
        </is>
      </c>
      <c r="F77" s="32" t="n"/>
      <c r="G77" s="32" t="n"/>
      <c r="H77" s="32" t="n"/>
      <c r="I77" s="32" t="n"/>
      <c r="J77" s="32" t="n"/>
    </row>
    <row r="78" ht="15" customHeight="1" s="21">
      <c r="A78" s="32" t="inlineStr">
        <is>
          <t>Push / Pull / Legs ×2</t>
        </is>
      </c>
      <c r="B78" s="32" t="inlineStr">
        <is>
          <t>Pull A</t>
        </is>
      </c>
      <c r="C78" s="32" t="n">
        <v>5</v>
      </c>
      <c r="D78" s="32" t="inlineStr">
        <is>
          <t>Dumbbell Curl</t>
        </is>
      </c>
      <c r="E78" s="32" t="inlineStr">
        <is>
          <t>Accessory</t>
        </is>
      </c>
      <c r="F78" s="32" t="n"/>
      <c r="G78" s="32" t="n"/>
      <c r="H78" s="32" t="n"/>
      <c r="I78" s="32" t="n"/>
      <c r="J78" s="32" t="n"/>
    </row>
    <row r="79" ht="15" customHeight="1" s="21">
      <c r="A79" s="32" t="inlineStr">
        <is>
          <t>Push / Pull / Legs ×2</t>
        </is>
      </c>
      <c r="B79" s="32" t="inlineStr">
        <is>
          <t>Legs A</t>
        </is>
      </c>
      <c r="C79" s="32" t="n">
        <v>1</v>
      </c>
      <c r="D79" s="32" t="inlineStr">
        <is>
          <t>Any squat</t>
        </is>
      </c>
      <c r="E79" s="32" t="inlineStr">
        <is>
          <t>Main</t>
        </is>
      </c>
      <c r="F79" s="32" t="n"/>
      <c r="G79" s="32" t="n"/>
      <c r="H79" s="32" t="n"/>
      <c r="I79" s="32" t="n"/>
      <c r="J79" s="32" t="n"/>
    </row>
    <row r="80" ht="15" customHeight="1" s="21">
      <c r="A80" s="32" t="inlineStr">
        <is>
          <t>Push / Pull / Legs ×2</t>
        </is>
      </c>
      <c r="B80" s="32" t="inlineStr">
        <is>
          <t>Legs A</t>
        </is>
      </c>
      <c r="C80" s="32" t="n">
        <v>2</v>
      </c>
      <c r="D80" s="32" t="inlineStr">
        <is>
          <t>Any hinge accessory (RDL, bridge)</t>
        </is>
      </c>
      <c r="E80" s="32" t="inlineStr">
        <is>
          <t>Accessory</t>
        </is>
      </c>
      <c r="F80" s="32" t="n"/>
      <c r="G80" s="32" t="n"/>
      <c r="H80" s="32" t="n"/>
      <c r="I80" s="32" t="n"/>
      <c r="J80" s="32" t="n"/>
    </row>
    <row r="81" ht="15" customHeight="1" s="21">
      <c r="A81" s="32" t="inlineStr">
        <is>
          <t>Push / Pull / Legs ×2</t>
        </is>
      </c>
      <c r="B81" s="32" t="inlineStr">
        <is>
          <t>Legs A</t>
        </is>
      </c>
      <c r="C81" s="32" t="n">
        <v>3</v>
      </c>
      <c r="D81" s="32" t="inlineStr">
        <is>
          <t>Any lunge / split squat</t>
        </is>
      </c>
      <c r="E81" s="32" t="inlineStr">
        <is>
          <t>Accessory</t>
        </is>
      </c>
      <c r="F81" s="32" t="n"/>
      <c r="G81" s="32" t="n"/>
      <c r="H81" s="32" t="n"/>
      <c r="I81" s="32" t="n"/>
      <c r="J81" s="32" t="n"/>
    </row>
    <row r="82" ht="15" customHeight="1" s="21">
      <c r="A82" s="32" t="inlineStr">
        <is>
          <t>Push / Pull / Legs ×2</t>
        </is>
      </c>
      <c r="B82" s="32" t="inlineStr">
        <is>
          <t>Legs A</t>
        </is>
      </c>
      <c r="C82" s="32" t="n">
        <v>4</v>
      </c>
      <c r="D82" s="32" t="inlineStr">
        <is>
          <t>Leg Curl</t>
        </is>
      </c>
      <c r="E82" s="32" t="inlineStr">
        <is>
          <t>Accessory</t>
        </is>
      </c>
      <c r="F82" s="32" t="n"/>
      <c r="G82" s="32" t="n"/>
      <c r="H82" s="32" t="n"/>
      <c r="I82" s="32" t="n"/>
      <c r="J82" s="32" t="n"/>
    </row>
    <row r="83" ht="15" customHeight="1" s="21">
      <c r="A83" s="32" t="inlineStr">
        <is>
          <t>Push / Pull / Legs ×2</t>
        </is>
      </c>
      <c r="B83" s="32" t="inlineStr">
        <is>
          <t>Legs A</t>
        </is>
      </c>
      <c r="C83" s="32" t="n">
        <v>5</v>
      </c>
      <c r="D83" s="32" t="inlineStr">
        <is>
          <t>Any calf raise</t>
        </is>
      </c>
      <c r="E83" s="32" t="inlineStr">
        <is>
          <t>Accessory</t>
        </is>
      </c>
      <c r="F83" s="32" t="n"/>
      <c r="G83" s="32" t="n"/>
      <c r="H83" s="32" t="n"/>
      <c r="I83" s="32" t="n"/>
      <c r="J83" s="32" t="n"/>
    </row>
    <row r="84" ht="15" customHeight="1" s="21">
      <c r="A84" s="32" t="inlineStr">
        <is>
          <t>Push / Pull / Legs ×2</t>
        </is>
      </c>
      <c r="B84" s="32" t="inlineStr">
        <is>
          <t>Legs A</t>
        </is>
      </c>
      <c r="C84" s="32" t="n">
        <v>6</v>
      </c>
      <c r="D84" s="32" t="inlineStr">
        <is>
          <t>Any core</t>
        </is>
      </c>
      <c r="E84" s="32" t="inlineStr">
        <is>
          <t>Accessory</t>
        </is>
      </c>
      <c r="F84" s="32" t="n"/>
      <c r="G84" s="32" t="n"/>
      <c r="H84" s="32" t="n"/>
      <c r="I84" s="32" t="n"/>
      <c r="J84" s="32" t="n"/>
    </row>
    <row r="85" ht="15" customHeight="1" s="21">
      <c r="A85" s="32" t="inlineStr">
        <is>
          <t>Push / Pull / Legs ×2</t>
        </is>
      </c>
      <c r="B85" s="32" t="inlineStr">
        <is>
          <t>Push B</t>
        </is>
      </c>
      <c r="C85" s="32" t="n">
        <v>1</v>
      </c>
      <c r="D85" s="32" t="inlineStr">
        <is>
          <t>Any vertical push (overhead press)</t>
        </is>
      </c>
      <c r="E85" s="32" t="inlineStr">
        <is>
          <t>Main</t>
        </is>
      </c>
      <c r="F85" s="32" t="n"/>
      <c r="G85" s="32" t="n"/>
      <c r="H85" s="32" t="n"/>
      <c r="I85" s="32" t="n"/>
      <c r="J85" s="32" t="n"/>
    </row>
    <row r="86" ht="15" customHeight="1" s="21">
      <c r="A86" s="32" t="inlineStr">
        <is>
          <t>Push / Pull / Legs ×2</t>
        </is>
      </c>
      <c r="B86" s="32" t="inlineStr">
        <is>
          <t>Push B</t>
        </is>
      </c>
      <c r="C86" s="32" t="n">
        <v>2</v>
      </c>
      <c r="D86" s="32" t="inlineStr">
        <is>
          <t>Incline Barbell Bench Press</t>
        </is>
      </c>
      <c r="E86" s="32" t="inlineStr">
        <is>
          <t>Main</t>
        </is>
      </c>
      <c r="F86" s="32" t="n"/>
      <c r="G86" s="32" t="n"/>
      <c r="H86" s="32" t="n"/>
      <c r="I86" s="32" t="n"/>
      <c r="J86" s="32" t="n"/>
    </row>
    <row r="87" ht="15" customHeight="1" s="21">
      <c r="A87" s="32" t="inlineStr">
        <is>
          <t>Push / Pull / Legs ×2</t>
        </is>
      </c>
      <c r="B87" s="32" t="inlineStr">
        <is>
          <t>Push B</t>
        </is>
      </c>
      <c r="C87" s="32" t="n">
        <v>3</v>
      </c>
      <c r="D87" s="32" t="inlineStr">
        <is>
          <t>Dips</t>
        </is>
      </c>
      <c r="E87" s="32" t="inlineStr">
        <is>
          <t>Accessory</t>
        </is>
      </c>
      <c r="F87" s="32" t="n"/>
      <c r="G87" s="32" t="n"/>
      <c r="H87" s="32" t="n"/>
      <c r="I87" s="32" t="n"/>
      <c r="J87" s="32" t="n"/>
    </row>
    <row r="88" ht="15" customHeight="1" s="21">
      <c r="A88" s="32" t="inlineStr">
        <is>
          <t>Push / Pull / Legs ×2</t>
        </is>
      </c>
      <c r="B88" s="32" t="inlineStr">
        <is>
          <t>Push B</t>
        </is>
      </c>
      <c r="C88" s="32" t="n">
        <v>4</v>
      </c>
      <c r="D88" s="32" t="inlineStr">
        <is>
          <t>Cable Fly</t>
        </is>
      </c>
      <c r="E88" s="32" t="inlineStr">
        <is>
          <t>Accessory</t>
        </is>
      </c>
      <c r="F88" s="32" t="n"/>
      <c r="G88" s="32" t="n"/>
      <c r="H88" s="32" t="n"/>
      <c r="I88" s="32" t="n"/>
      <c r="J88" s="32" t="n"/>
    </row>
    <row r="89" ht="15" customHeight="1" s="21">
      <c r="A89" s="32" t="inlineStr">
        <is>
          <t>Push / Pull / Legs ×2</t>
        </is>
      </c>
      <c r="B89" s="32" t="inlineStr">
        <is>
          <t>Push B</t>
        </is>
      </c>
      <c r="C89" s="32" t="n">
        <v>5</v>
      </c>
      <c r="D89" s="32" t="inlineStr">
        <is>
          <t>Overhead Triceps Extension</t>
        </is>
      </c>
      <c r="E89" s="32" t="inlineStr">
        <is>
          <t>Accessory</t>
        </is>
      </c>
      <c r="F89" s="32" t="n"/>
      <c r="G89" s="32" t="n"/>
      <c r="H89" s="32" t="n"/>
      <c r="I89" s="32" t="n"/>
      <c r="J89" s="32" t="n"/>
    </row>
    <row r="90" ht="15" customHeight="1" s="21">
      <c r="A90" s="32" t="inlineStr">
        <is>
          <t>Push / Pull / Legs ×2</t>
        </is>
      </c>
      <c r="B90" s="32" t="inlineStr">
        <is>
          <t>Pull B</t>
        </is>
      </c>
      <c r="C90" s="32" t="n">
        <v>1</v>
      </c>
      <c r="D90" s="32" t="inlineStr">
        <is>
          <t>Any horizontal pull (row)</t>
        </is>
      </c>
      <c r="E90" s="32" t="inlineStr">
        <is>
          <t>Main</t>
        </is>
      </c>
      <c r="F90" s="32" t="n"/>
      <c r="G90" s="32" t="n"/>
      <c r="H90" s="32" t="n"/>
      <c r="I90" s="32" t="n"/>
      <c r="J90" s="32" t="n"/>
    </row>
    <row r="91" ht="15" customHeight="1" s="21">
      <c r="A91" s="32" t="inlineStr">
        <is>
          <t>Push / Pull / Legs ×2</t>
        </is>
      </c>
      <c r="B91" s="32" t="inlineStr">
        <is>
          <t>Pull B</t>
        </is>
      </c>
      <c r="C91" s="32" t="n">
        <v>2</v>
      </c>
      <c r="D91" s="32" t="inlineStr">
        <is>
          <t>Chin-Up</t>
        </is>
      </c>
      <c r="E91" s="32" t="inlineStr">
        <is>
          <t>Main</t>
        </is>
      </c>
      <c r="F91" s="32" t="n"/>
      <c r="G91" s="32" t="n"/>
      <c r="H91" s="32" t="n"/>
      <c r="I91" s="32" t="n"/>
      <c r="J91" s="32" t="n"/>
    </row>
    <row r="92" ht="15" customHeight="1" s="21">
      <c r="A92" s="32" t="inlineStr">
        <is>
          <t>Push / Pull / Legs ×2</t>
        </is>
      </c>
      <c r="B92" s="32" t="inlineStr">
        <is>
          <t>Pull B</t>
        </is>
      </c>
      <c r="C92" s="32" t="n">
        <v>3</v>
      </c>
      <c r="D92" s="32" t="inlineStr">
        <is>
          <t>Seated Cable Row</t>
        </is>
      </c>
      <c r="E92" s="32" t="inlineStr">
        <is>
          <t>Accessory</t>
        </is>
      </c>
      <c r="F92" s="32" t="n"/>
      <c r="G92" s="32" t="n"/>
      <c r="H92" s="32" t="n"/>
      <c r="I92" s="32" t="n"/>
      <c r="J92" s="32" t="n"/>
    </row>
    <row r="93" ht="15" customHeight="1" s="21">
      <c r="A93" s="32" t="inlineStr">
        <is>
          <t>Push / Pull / Legs ×2</t>
        </is>
      </c>
      <c r="B93" s="32" t="inlineStr">
        <is>
          <t>Pull B</t>
        </is>
      </c>
      <c r="C93" s="32" t="n">
        <v>4</v>
      </c>
      <c r="D93" s="32" t="inlineStr">
        <is>
          <t>Face Pull</t>
        </is>
      </c>
      <c r="E93" s="32" t="inlineStr">
        <is>
          <t>Accessory</t>
        </is>
      </c>
      <c r="F93" s="32" t="n"/>
      <c r="G93" s="32" t="n"/>
      <c r="H93" s="32" t="n"/>
      <c r="I93" s="32" t="n"/>
      <c r="J93" s="32" t="n"/>
    </row>
    <row r="94" ht="15" customHeight="1" s="21">
      <c r="A94" s="32" t="inlineStr">
        <is>
          <t>Push / Pull / Legs ×2</t>
        </is>
      </c>
      <c r="B94" s="32" t="inlineStr">
        <is>
          <t>Pull B</t>
        </is>
      </c>
      <c r="C94" s="32" t="n">
        <v>5</v>
      </c>
      <c r="D94" s="32" t="inlineStr">
        <is>
          <t>Hammer Curl</t>
        </is>
      </c>
      <c r="E94" s="32" t="inlineStr">
        <is>
          <t>Accessory</t>
        </is>
      </c>
      <c r="F94" s="32" t="n"/>
      <c r="G94" s="32" t="n"/>
      <c r="H94" s="32" t="n"/>
      <c r="I94" s="32" t="n"/>
      <c r="J94" s="32" t="n"/>
    </row>
    <row r="95" ht="15" customHeight="1" s="21">
      <c r="A95" s="32" t="inlineStr">
        <is>
          <t>Push / Pull / Legs ×2</t>
        </is>
      </c>
      <c r="B95" s="32" t="inlineStr">
        <is>
          <t>Legs B</t>
        </is>
      </c>
      <c r="C95" s="32" t="n">
        <v>1</v>
      </c>
      <c r="D95" s="32" t="inlineStr">
        <is>
          <t>Trap Bar Deadlift</t>
        </is>
      </c>
      <c r="E95" s="32" t="inlineStr">
        <is>
          <t>Main</t>
        </is>
      </c>
      <c r="F95" s="32" t="n"/>
      <c r="G95" s="32" t="n"/>
      <c r="H95" s="32" t="n"/>
      <c r="I95" s="32" t="n"/>
      <c r="J95" s="32" t="n"/>
    </row>
    <row r="96" ht="15" customHeight="1" s="21">
      <c r="A96" s="32" t="inlineStr">
        <is>
          <t>Push / Pull / Legs ×2</t>
        </is>
      </c>
      <c r="B96" s="32" t="inlineStr">
        <is>
          <t>Legs B</t>
        </is>
      </c>
      <c r="C96" s="32" t="n">
        <v>2</v>
      </c>
      <c r="D96" s="32" t="inlineStr">
        <is>
          <t>Bulgarian Split Squat</t>
        </is>
      </c>
      <c r="E96" s="32" t="inlineStr">
        <is>
          <t>Accessory</t>
        </is>
      </c>
      <c r="F96" s="32" t="n"/>
      <c r="G96" s="32" t="n"/>
      <c r="H96" s="32" t="n"/>
      <c r="I96" s="32" t="n"/>
      <c r="J96" s="32" t="n"/>
    </row>
    <row r="97" ht="15" customHeight="1" s="21">
      <c r="A97" s="32" t="inlineStr">
        <is>
          <t>Push / Pull / Legs ×2</t>
        </is>
      </c>
      <c r="B97" s="32" t="inlineStr">
        <is>
          <t>Legs B</t>
        </is>
      </c>
      <c r="C97" s="32" t="n">
        <v>3</v>
      </c>
      <c r="D97" s="32" t="inlineStr">
        <is>
          <t>Leg Press</t>
        </is>
      </c>
      <c r="E97" s="32" t="inlineStr">
        <is>
          <t>Accessory</t>
        </is>
      </c>
      <c r="F97" s="32" t="n"/>
      <c r="G97" s="32" t="n"/>
      <c r="H97" s="32" t="n"/>
      <c r="I97" s="32" t="n"/>
      <c r="J97" s="32" t="n"/>
    </row>
    <row r="98" ht="15" customHeight="1" s="21">
      <c r="A98" s="32" t="inlineStr">
        <is>
          <t>Push / Pull / Legs ×2</t>
        </is>
      </c>
      <c r="B98" s="32" t="inlineStr">
        <is>
          <t>Legs B</t>
        </is>
      </c>
      <c r="C98" s="32" t="n">
        <v>4</v>
      </c>
      <c r="D98" s="32" t="inlineStr">
        <is>
          <t>Nordic Hamstring Curl</t>
        </is>
      </c>
      <c r="E98" s="32" t="inlineStr">
        <is>
          <t>Accessory</t>
        </is>
      </c>
      <c r="F98" s="32" t="n"/>
      <c r="G98" s="32" t="n"/>
      <c r="H98" s="32" t="n"/>
      <c r="I98" s="32" t="n"/>
      <c r="J98" s="32" t="n"/>
    </row>
    <row r="99" ht="15" customHeight="1" s="21">
      <c r="A99" s="32" t="inlineStr">
        <is>
          <t>Push / Pull / Legs ×2</t>
        </is>
      </c>
      <c r="B99" s="32" t="inlineStr">
        <is>
          <t>Legs B</t>
        </is>
      </c>
      <c r="C99" s="32" t="n">
        <v>5</v>
      </c>
      <c r="D99" s="32" t="inlineStr">
        <is>
          <t>Seated Calf Raise</t>
        </is>
      </c>
      <c r="E99" s="32" t="inlineStr">
        <is>
          <t>Accessory</t>
        </is>
      </c>
      <c r="F99" s="32" t="n"/>
      <c r="G99" s="32" t="n"/>
      <c r="H99" s="32" t="n"/>
      <c r="I99" s="32" t="n"/>
      <c r="J99" s="32" t="n"/>
    </row>
    <row r="100" ht="15" customHeight="1" s="21">
      <c r="A100" s="32" t="inlineStr">
        <is>
          <t>Push / Pull / Legs ×2</t>
        </is>
      </c>
      <c r="B100" s="32" t="inlineStr">
        <is>
          <t>Legs B</t>
        </is>
      </c>
      <c r="C100" s="32" t="n">
        <v>6</v>
      </c>
      <c r="D100" s="32" t="inlineStr">
        <is>
          <t>Hanging Leg Raise</t>
        </is>
      </c>
      <c r="E100" s="32" t="inlineStr">
        <is>
          <t>Accessory</t>
        </is>
      </c>
      <c r="F100" s="32" t="n"/>
      <c r="G100" s="32" t="n"/>
      <c r="H100" s="32" t="n"/>
      <c r="I100" s="32" t="n"/>
      <c r="J100" s="32" t="n"/>
    </row>
    <row r="101" ht="15" customHeight="1" s="21">
      <c r="A101" s="32" t="inlineStr">
        <is>
          <t>Upper / Lower / Full</t>
        </is>
      </c>
      <c r="B101" s="32" t="inlineStr">
        <is>
          <t>Upper</t>
        </is>
      </c>
      <c r="C101" s="32" t="n">
        <v>1</v>
      </c>
      <c r="D101" s="32" t="inlineStr">
        <is>
          <t>Any horizontal push (bench, press-up)</t>
        </is>
      </c>
      <c r="E101" s="32" t="inlineStr">
        <is>
          <t>Main</t>
        </is>
      </c>
      <c r="F101" s="32" t="n"/>
      <c r="G101" s="32" t="n"/>
      <c r="H101" s="32" t="n"/>
      <c r="I101" s="32" t="n"/>
      <c r="J101" s="32" t="n"/>
    </row>
    <row r="102" ht="15" customHeight="1" s="21">
      <c r="A102" s="32" t="inlineStr">
        <is>
          <t>Upper / Lower / Full</t>
        </is>
      </c>
      <c r="B102" s="32" t="inlineStr">
        <is>
          <t>Upper</t>
        </is>
      </c>
      <c r="C102" s="32" t="n">
        <v>2</v>
      </c>
      <c r="D102" s="32" t="inlineStr">
        <is>
          <t>Any horizontal pull (row)</t>
        </is>
      </c>
      <c r="E102" s="32" t="inlineStr">
        <is>
          <t>Main</t>
        </is>
      </c>
      <c r="F102" s="32" t="n"/>
      <c r="G102" s="32" t="n"/>
      <c r="H102" s="32" t="n"/>
      <c r="I102" s="32" t="n"/>
      <c r="J102" s="32" t="n"/>
    </row>
    <row r="103" ht="15" customHeight="1" s="21">
      <c r="A103" s="32" t="inlineStr">
        <is>
          <t>Upper / Lower / Full</t>
        </is>
      </c>
      <c r="B103" s="32" t="inlineStr">
        <is>
          <t>Upper</t>
        </is>
      </c>
      <c r="C103" s="32" t="n">
        <v>3</v>
      </c>
      <c r="D103" s="32" t="inlineStr">
        <is>
          <t>Any vertical push (overhead press)</t>
        </is>
      </c>
      <c r="E103" s="32" t="inlineStr">
        <is>
          <t>Accessory</t>
        </is>
      </c>
      <c r="F103" s="32" t="n"/>
      <c r="G103" s="32" t="n"/>
      <c r="H103" s="32" t="n"/>
      <c r="I103" s="32" t="n"/>
      <c r="J103" s="32" t="n"/>
    </row>
    <row r="104" ht="15" customHeight="1" s="21">
      <c r="A104" s="32" t="inlineStr">
        <is>
          <t>Upper / Lower / Full</t>
        </is>
      </c>
      <c r="B104" s="32" t="inlineStr">
        <is>
          <t>Upper</t>
        </is>
      </c>
      <c r="C104" s="32" t="n">
        <v>4</v>
      </c>
      <c r="D104" s="32" t="inlineStr">
        <is>
          <t>Any vertical pull (pull-up, pulldown)</t>
        </is>
      </c>
      <c r="E104" s="32" t="inlineStr">
        <is>
          <t>Accessory</t>
        </is>
      </c>
      <c r="F104" s="32" t="n"/>
      <c r="G104" s="32" t="n"/>
      <c r="H104" s="32" t="n"/>
      <c r="I104" s="32" t="n"/>
      <c r="J104" s="32" t="n"/>
    </row>
    <row r="105" ht="15" customHeight="1" s="21">
      <c r="A105" s="32" t="inlineStr">
        <is>
          <t>Upper / Lower / Full</t>
        </is>
      </c>
      <c r="B105" s="32" t="inlineStr">
        <is>
          <t>Upper</t>
        </is>
      </c>
      <c r="C105" s="32" t="n">
        <v>5</v>
      </c>
      <c r="D105" s="32" t="inlineStr">
        <is>
          <t>Any arms</t>
        </is>
      </c>
      <c r="E105" s="32" t="inlineStr">
        <is>
          <t>Accessory</t>
        </is>
      </c>
      <c r="F105" s="32" t="n"/>
      <c r="G105" s="32" t="n"/>
      <c r="H105" s="32" t="n"/>
      <c r="I105" s="32" t="n"/>
      <c r="J105" s="32" t="n"/>
    </row>
    <row r="106" ht="15" customHeight="1" s="21">
      <c r="A106" s="32" t="inlineStr">
        <is>
          <t>Upper / Lower / Full</t>
        </is>
      </c>
      <c r="B106" s="32" t="inlineStr">
        <is>
          <t>Lower</t>
        </is>
      </c>
      <c r="C106" s="32" t="n">
        <v>1</v>
      </c>
      <c r="D106" s="32" t="inlineStr">
        <is>
          <t>Any squat</t>
        </is>
      </c>
      <c r="E106" s="32" t="inlineStr">
        <is>
          <t>Main</t>
        </is>
      </c>
      <c r="F106" s="32" t="n"/>
      <c r="G106" s="32" t="n"/>
      <c r="H106" s="32" t="n"/>
      <c r="I106" s="32" t="n"/>
      <c r="J106" s="32" t="n"/>
    </row>
    <row r="107" ht="15" customHeight="1" s="21">
      <c r="A107" s="32" t="inlineStr">
        <is>
          <t>Upper / Lower / Full</t>
        </is>
      </c>
      <c r="B107" s="32" t="inlineStr">
        <is>
          <t>Lower</t>
        </is>
      </c>
      <c r="C107" s="32" t="n">
        <v>2</v>
      </c>
      <c r="D107" s="32" t="inlineStr">
        <is>
          <t>Any hinge accessory (RDL, bridge)</t>
        </is>
      </c>
      <c r="E107" s="32" t="inlineStr">
        <is>
          <t>Accessory</t>
        </is>
      </c>
      <c r="F107" s="32" t="n"/>
      <c r="G107" s="32" t="n"/>
      <c r="H107" s="32" t="n"/>
      <c r="I107" s="32" t="n"/>
      <c r="J107" s="32" t="n"/>
    </row>
    <row r="108" ht="15" customHeight="1" s="21">
      <c r="A108" s="32" t="inlineStr">
        <is>
          <t>Upper / Lower / Full</t>
        </is>
      </c>
      <c r="B108" s="32" t="inlineStr">
        <is>
          <t>Lower</t>
        </is>
      </c>
      <c r="C108" s="32" t="n">
        <v>3</v>
      </c>
      <c r="D108" s="32" t="inlineStr">
        <is>
          <t>Any lunge / split squat</t>
        </is>
      </c>
      <c r="E108" s="32" t="inlineStr">
        <is>
          <t>Accessory</t>
        </is>
      </c>
      <c r="F108" s="32" t="n"/>
      <c r="G108" s="32" t="n"/>
      <c r="H108" s="32" t="n"/>
      <c r="I108" s="32" t="n"/>
      <c r="J108" s="32" t="n"/>
    </row>
    <row r="109" ht="15" customHeight="1" s="21">
      <c r="A109" s="32" t="inlineStr">
        <is>
          <t>Upper / Lower / Full</t>
        </is>
      </c>
      <c r="B109" s="32" t="inlineStr">
        <is>
          <t>Lower</t>
        </is>
      </c>
      <c r="C109" s="32" t="n">
        <v>4</v>
      </c>
      <c r="D109" s="32" t="inlineStr">
        <is>
          <t>Any calf raise</t>
        </is>
      </c>
      <c r="E109" s="32" t="inlineStr">
        <is>
          <t>Accessory</t>
        </is>
      </c>
      <c r="F109" s="32" t="n"/>
      <c r="G109" s="32" t="n"/>
      <c r="H109" s="32" t="n"/>
      <c r="I109" s="32" t="n"/>
      <c r="J109" s="32" t="n"/>
    </row>
    <row r="110" ht="15" customHeight="1" s="21">
      <c r="A110" s="32" t="inlineStr">
        <is>
          <t>Upper / Lower / Full</t>
        </is>
      </c>
      <c r="B110" s="32" t="inlineStr">
        <is>
          <t>Lower</t>
        </is>
      </c>
      <c r="C110" s="32" t="n">
        <v>5</v>
      </c>
      <c r="D110" s="32" t="inlineStr">
        <is>
          <t>Any core</t>
        </is>
      </c>
      <c r="E110" s="32" t="inlineStr">
        <is>
          <t>Accessory</t>
        </is>
      </c>
      <c r="F110" s="32" t="n"/>
      <c r="G110" s="32" t="n"/>
      <c r="H110" s="32" t="n"/>
      <c r="I110" s="32" t="n"/>
      <c r="J110" s="32" t="n"/>
    </row>
    <row r="111" ht="15" customHeight="1" s="21">
      <c r="A111" s="32" t="inlineStr">
        <is>
          <t>Upper / Lower / Full</t>
        </is>
      </c>
      <c r="B111" s="32" t="inlineStr">
        <is>
          <t>Full body</t>
        </is>
      </c>
      <c r="C111" s="32" t="n">
        <v>1</v>
      </c>
      <c r="D111" s="32" t="inlineStr">
        <is>
          <t>Any hinge (deadlift)</t>
        </is>
      </c>
      <c r="E111" s="32" t="inlineStr">
        <is>
          <t>Main</t>
        </is>
      </c>
      <c r="F111" s="32" t="n"/>
      <c r="G111" s="32" t="n"/>
      <c r="H111" s="32" t="n"/>
      <c r="I111" s="32" t="n"/>
      <c r="J111" s="32" t="n"/>
    </row>
    <row r="112" ht="15" customHeight="1" s="21">
      <c r="A112" s="32" t="inlineStr">
        <is>
          <t>Upper / Lower / Full</t>
        </is>
      </c>
      <c r="B112" s="32" t="inlineStr">
        <is>
          <t>Full body</t>
        </is>
      </c>
      <c r="C112" s="32" t="n">
        <v>2</v>
      </c>
      <c r="D112" s="32" t="inlineStr">
        <is>
          <t>Any vertical push (overhead press)</t>
        </is>
      </c>
      <c r="E112" s="32" t="inlineStr">
        <is>
          <t>Main</t>
        </is>
      </c>
      <c r="F112" s="32" t="n"/>
      <c r="G112" s="32" t="n"/>
      <c r="H112" s="32" t="n"/>
      <c r="I112" s="32" t="n"/>
      <c r="J112" s="32" t="n"/>
    </row>
    <row r="113" ht="15" customHeight="1" s="21">
      <c r="A113" s="32" t="inlineStr">
        <is>
          <t>Upper / Lower / Full</t>
        </is>
      </c>
      <c r="B113" s="32" t="inlineStr">
        <is>
          <t>Full body</t>
        </is>
      </c>
      <c r="C113" s="32" t="n">
        <v>3</v>
      </c>
      <c r="D113" s="32" t="inlineStr">
        <is>
          <t>Any vertical pull (pull-up, pulldown)</t>
        </is>
      </c>
      <c r="E113" s="32" t="inlineStr">
        <is>
          <t>Accessory</t>
        </is>
      </c>
      <c r="F113" s="32" t="n"/>
      <c r="G113" s="32" t="n"/>
      <c r="H113" s="32" t="n"/>
      <c r="I113" s="32" t="n"/>
      <c r="J113" s="32" t="n"/>
    </row>
    <row r="114" ht="15" customHeight="1" s="21">
      <c r="A114" s="32" t="inlineStr">
        <is>
          <t>Upper / Lower / Full</t>
        </is>
      </c>
      <c r="B114" s="32" t="inlineStr">
        <is>
          <t>Full body</t>
        </is>
      </c>
      <c r="C114" s="32" t="n">
        <v>4</v>
      </c>
      <c r="D114" s="32" t="inlineStr">
        <is>
          <t>Step-Up</t>
        </is>
      </c>
      <c r="E114" s="32" t="inlineStr">
        <is>
          <t>Accessory</t>
        </is>
      </c>
      <c r="F114" s="32" t="n"/>
      <c r="G114" s="32" t="n"/>
      <c r="H114" s="32" t="n"/>
      <c r="I114" s="32" t="n"/>
      <c r="J114" s="32" t="n"/>
    </row>
    <row r="115" ht="15" customHeight="1" s="21">
      <c r="A115" s="32" t="inlineStr">
        <is>
          <t>Upper / Lower / Full</t>
        </is>
      </c>
      <c r="B115" s="32" t="inlineStr">
        <is>
          <t>Full body</t>
        </is>
      </c>
      <c r="C115" s="32" t="n">
        <v>5</v>
      </c>
      <c r="D115" s="32" t="inlineStr">
        <is>
          <t>Any anti-rotation core</t>
        </is>
      </c>
      <c r="E115" s="32" t="inlineStr">
        <is>
          <t>Accessory</t>
        </is>
      </c>
      <c r="F115" s="32" t="n"/>
      <c r="G115" s="32" t="n"/>
      <c r="H115" s="32" t="n"/>
      <c r="I115" s="32" t="n"/>
      <c r="J115" s="32" t="n"/>
    </row>
    <row r="116" ht="15" customHeight="1" s="21">
      <c r="A116" s="32" t="inlineStr">
        <is>
          <t>PPL + Upper / Lower</t>
        </is>
      </c>
      <c r="B116" s="32" t="inlineStr">
        <is>
          <t>Push</t>
        </is>
      </c>
      <c r="C116" s="32" t="n">
        <v>1</v>
      </c>
      <c r="D116" s="32" t="inlineStr">
        <is>
          <t>Any horizontal push (bench, press-up)</t>
        </is>
      </c>
      <c r="E116" s="32" t="inlineStr">
        <is>
          <t>Main</t>
        </is>
      </c>
      <c r="F116" s="32" t="n"/>
      <c r="G116" s="32" t="n"/>
      <c r="H116" s="32" t="n"/>
      <c r="I116" s="32" t="n"/>
      <c r="J116" s="32" t="n"/>
    </row>
    <row r="117" ht="15" customHeight="1" s="21">
      <c r="A117" s="32" t="inlineStr">
        <is>
          <t>PPL + Upper / Lower</t>
        </is>
      </c>
      <c r="B117" s="32" t="inlineStr">
        <is>
          <t>Push</t>
        </is>
      </c>
      <c r="C117" s="32" t="n">
        <v>2</v>
      </c>
      <c r="D117" s="32" t="inlineStr">
        <is>
          <t>Any vertical push (overhead press)</t>
        </is>
      </c>
      <c r="E117" s="32" t="inlineStr">
        <is>
          <t>Main</t>
        </is>
      </c>
      <c r="F117" s="32" t="n"/>
      <c r="G117" s="32" t="n"/>
      <c r="H117" s="32" t="n"/>
      <c r="I117" s="32" t="n"/>
      <c r="J117" s="32" t="n"/>
    </row>
    <row r="118" ht="15" customHeight="1" s="21">
      <c r="A118" s="32" t="inlineStr">
        <is>
          <t>PPL + Upper / Lower</t>
        </is>
      </c>
      <c r="B118" s="32" t="inlineStr">
        <is>
          <t>Push</t>
        </is>
      </c>
      <c r="C118" s="32" t="n">
        <v>3</v>
      </c>
      <c r="D118" s="32" t="inlineStr">
        <is>
          <t>Incline Dumbbell Press</t>
        </is>
      </c>
      <c r="E118" s="32" t="inlineStr">
        <is>
          <t>Accessory</t>
        </is>
      </c>
      <c r="F118" s="32" t="n"/>
      <c r="G118" s="32" t="n"/>
      <c r="H118" s="32" t="n"/>
      <c r="I118" s="32" t="n"/>
      <c r="J118" s="32" t="n"/>
    </row>
    <row r="119" ht="15" customHeight="1" s="21">
      <c r="A119" s="32" t="inlineStr">
        <is>
          <t>PPL + Upper / Lower</t>
        </is>
      </c>
      <c r="B119" s="32" t="inlineStr">
        <is>
          <t>Push</t>
        </is>
      </c>
      <c r="C119" s="32" t="n">
        <v>4</v>
      </c>
      <c r="D119" s="32" t="inlineStr">
        <is>
          <t>Dumbbell Lateral Raise</t>
        </is>
      </c>
      <c r="E119" s="32" t="inlineStr">
        <is>
          <t>Accessory</t>
        </is>
      </c>
      <c r="F119" s="32" t="n"/>
      <c r="G119" s="32" t="n"/>
      <c r="H119" s="32" t="n"/>
      <c r="I119" s="32" t="n"/>
      <c r="J119" s="32" t="n"/>
    </row>
    <row r="120" ht="15" customHeight="1" s="21">
      <c r="A120" s="32" t="inlineStr">
        <is>
          <t>PPL + Upper / Lower</t>
        </is>
      </c>
      <c r="B120" s="32" t="inlineStr">
        <is>
          <t>Push</t>
        </is>
      </c>
      <c r="C120" s="32" t="n">
        <v>5</v>
      </c>
      <c r="D120" s="32" t="inlineStr">
        <is>
          <t>Triceps Pushdown</t>
        </is>
      </c>
      <c r="E120" s="32" t="inlineStr">
        <is>
          <t>Accessory</t>
        </is>
      </c>
      <c r="F120" s="32" t="n"/>
      <c r="G120" s="32" t="n"/>
      <c r="H120" s="32" t="n"/>
      <c r="I120" s="32" t="n"/>
      <c r="J120" s="32" t="n"/>
    </row>
    <row r="121" ht="15" customHeight="1" s="21">
      <c r="A121" s="32" t="inlineStr">
        <is>
          <t>PPL + Upper / Lower</t>
        </is>
      </c>
      <c r="B121" s="32" t="inlineStr">
        <is>
          <t>Pull</t>
        </is>
      </c>
      <c r="C121" s="32" t="n">
        <v>1</v>
      </c>
      <c r="D121" s="32" t="inlineStr">
        <is>
          <t>Any vertical pull (pull-up, pulldown)</t>
        </is>
      </c>
      <c r="E121" s="32" t="inlineStr">
        <is>
          <t>Main</t>
        </is>
      </c>
      <c r="F121" s="32" t="n"/>
      <c r="G121" s="32" t="n"/>
      <c r="H121" s="32" t="n"/>
      <c r="I121" s="32" t="n"/>
      <c r="J121" s="32" t="n"/>
    </row>
    <row r="122" ht="15" customHeight="1" s="21">
      <c r="A122" s="32" t="inlineStr">
        <is>
          <t>PPL + Upper / Lower</t>
        </is>
      </c>
      <c r="B122" s="32" t="inlineStr">
        <is>
          <t>Pull</t>
        </is>
      </c>
      <c r="C122" s="32" t="n">
        <v>2</v>
      </c>
      <c r="D122" s="32" t="inlineStr">
        <is>
          <t>Any horizontal pull (row)</t>
        </is>
      </c>
      <c r="E122" s="32" t="inlineStr">
        <is>
          <t>Main</t>
        </is>
      </c>
      <c r="F122" s="32" t="n"/>
      <c r="G122" s="32" t="n"/>
      <c r="H122" s="32" t="n"/>
      <c r="I122" s="32" t="n"/>
      <c r="J122" s="32" t="n"/>
    </row>
    <row r="123" ht="15" customHeight="1" s="21">
      <c r="A123" s="32" t="inlineStr">
        <is>
          <t>PPL + Upper / Lower</t>
        </is>
      </c>
      <c r="B123" s="32" t="inlineStr">
        <is>
          <t>Pull</t>
        </is>
      </c>
      <c r="C123" s="32" t="n">
        <v>3</v>
      </c>
      <c r="D123" s="32" t="inlineStr">
        <is>
          <t>Face Pull</t>
        </is>
      </c>
      <c r="E123" s="32" t="inlineStr">
        <is>
          <t>Accessory</t>
        </is>
      </c>
      <c r="F123" s="32" t="n"/>
      <c r="G123" s="32" t="n"/>
      <c r="H123" s="32" t="n"/>
      <c r="I123" s="32" t="n"/>
      <c r="J123" s="32" t="n"/>
    </row>
    <row r="124" ht="15" customHeight="1" s="21">
      <c r="A124" s="32" t="inlineStr">
        <is>
          <t>PPL + Upper / Lower</t>
        </is>
      </c>
      <c r="B124" s="32" t="inlineStr">
        <is>
          <t>Pull</t>
        </is>
      </c>
      <c r="C124" s="32" t="n">
        <v>4</v>
      </c>
      <c r="D124" s="32" t="inlineStr">
        <is>
          <t>Rear Delt Fly</t>
        </is>
      </c>
      <c r="E124" s="32" t="inlineStr">
        <is>
          <t>Accessory</t>
        </is>
      </c>
      <c r="F124" s="32" t="n"/>
      <c r="G124" s="32" t="n"/>
      <c r="H124" s="32" t="n"/>
      <c r="I124" s="32" t="n"/>
      <c r="J124" s="32" t="n"/>
    </row>
    <row r="125" ht="15" customHeight="1" s="21">
      <c r="A125" s="32" t="inlineStr">
        <is>
          <t>PPL + Upper / Lower</t>
        </is>
      </c>
      <c r="B125" s="32" t="inlineStr">
        <is>
          <t>Pull</t>
        </is>
      </c>
      <c r="C125" s="32" t="n">
        <v>5</v>
      </c>
      <c r="D125" s="32" t="inlineStr">
        <is>
          <t>Dumbbell Curl</t>
        </is>
      </c>
      <c r="E125" s="32" t="inlineStr">
        <is>
          <t>Accessory</t>
        </is>
      </c>
      <c r="F125" s="32" t="n"/>
      <c r="G125" s="32" t="n"/>
      <c r="H125" s="32" t="n"/>
      <c r="I125" s="32" t="n"/>
      <c r="J125" s="32" t="n"/>
    </row>
    <row r="126" ht="15" customHeight="1" s="21">
      <c r="A126" s="32" t="inlineStr">
        <is>
          <t>PPL + Upper / Lower</t>
        </is>
      </c>
      <c r="B126" s="32" t="inlineStr">
        <is>
          <t>Legs</t>
        </is>
      </c>
      <c r="C126" s="32" t="n">
        <v>1</v>
      </c>
      <c r="D126" s="32" t="inlineStr">
        <is>
          <t>Any squat</t>
        </is>
      </c>
      <c r="E126" s="32" t="inlineStr">
        <is>
          <t>Main</t>
        </is>
      </c>
      <c r="F126" s="32" t="n"/>
      <c r="G126" s="32" t="n"/>
      <c r="H126" s="32" t="n"/>
      <c r="I126" s="32" t="n"/>
      <c r="J126" s="32" t="n"/>
    </row>
    <row r="127" ht="15" customHeight="1" s="21">
      <c r="A127" s="32" t="inlineStr">
        <is>
          <t>PPL + Upper / Lower</t>
        </is>
      </c>
      <c r="B127" s="32" t="inlineStr">
        <is>
          <t>Legs</t>
        </is>
      </c>
      <c r="C127" s="32" t="n">
        <v>2</v>
      </c>
      <c r="D127" s="32" t="inlineStr">
        <is>
          <t>Any hinge accessory (RDL, bridge)</t>
        </is>
      </c>
      <c r="E127" s="32" t="inlineStr">
        <is>
          <t>Accessory</t>
        </is>
      </c>
      <c r="F127" s="32" t="n"/>
      <c r="G127" s="32" t="n"/>
      <c r="H127" s="32" t="n"/>
      <c r="I127" s="32" t="n"/>
      <c r="J127" s="32" t="n"/>
    </row>
    <row r="128" ht="15" customHeight="1" s="21">
      <c r="A128" s="32" t="inlineStr">
        <is>
          <t>PPL + Upper / Lower</t>
        </is>
      </c>
      <c r="B128" s="32" t="inlineStr">
        <is>
          <t>Legs</t>
        </is>
      </c>
      <c r="C128" s="32" t="n">
        <v>3</v>
      </c>
      <c r="D128" s="32" t="inlineStr">
        <is>
          <t>Any lunge / split squat</t>
        </is>
      </c>
      <c r="E128" s="32" t="inlineStr">
        <is>
          <t>Accessory</t>
        </is>
      </c>
      <c r="F128" s="32" t="n"/>
      <c r="G128" s="32" t="n"/>
      <c r="H128" s="32" t="n"/>
      <c r="I128" s="32" t="n"/>
      <c r="J128" s="32" t="n"/>
    </row>
    <row r="129" ht="15" customHeight="1" s="21">
      <c r="A129" s="32" t="inlineStr">
        <is>
          <t>PPL + Upper / Lower</t>
        </is>
      </c>
      <c r="B129" s="32" t="inlineStr">
        <is>
          <t>Legs</t>
        </is>
      </c>
      <c r="C129" s="32" t="n">
        <v>4</v>
      </c>
      <c r="D129" s="32" t="inlineStr">
        <is>
          <t>Leg Curl</t>
        </is>
      </c>
      <c r="E129" s="32" t="inlineStr">
        <is>
          <t>Accessory</t>
        </is>
      </c>
      <c r="F129" s="32" t="n"/>
      <c r="G129" s="32" t="n"/>
      <c r="H129" s="32" t="n"/>
      <c r="I129" s="32" t="n"/>
      <c r="J129" s="32" t="n"/>
    </row>
    <row r="130" ht="15" customHeight="1" s="21">
      <c r="A130" s="32" t="inlineStr">
        <is>
          <t>PPL + Upper / Lower</t>
        </is>
      </c>
      <c r="B130" s="32" t="inlineStr">
        <is>
          <t>Legs</t>
        </is>
      </c>
      <c r="C130" s="32" t="n">
        <v>5</v>
      </c>
      <c r="D130" s="32" t="inlineStr">
        <is>
          <t>Any calf raise</t>
        </is>
      </c>
      <c r="E130" s="32" t="inlineStr">
        <is>
          <t>Accessory</t>
        </is>
      </c>
      <c r="F130" s="32" t="n"/>
      <c r="G130" s="32" t="n"/>
      <c r="H130" s="32" t="n"/>
      <c r="I130" s="32" t="n"/>
      <c r="J130" s="32" t="n"/>
    </row>
    <row r="131" ht="15" customHeight="1" s="21">
      <c r="A131" s="32" t="inlineStr">
        <is>
          <t>PPL + Upper / Lower</t>
        </is>
      </c>
      <c r="B131" s="32" t="inlineStr">
        <is>
          <t>Legs</t>
        </is>
      </c>
      <c r="C131" s="32" t="n">
        <v>6</v>
      </c>
      <c r="D131" s="32" t="inlineStr">
        <is>
          <t>Any core</t>
        </is>
      </c>
      <c r="E131" s="32" t="inlineStr">
        <is>
          <t>Accessory</t>
        </is>
      </c>
      <c r="F131" s="32" t="n"/>
      <c r="G131" s="32" t="n"/>
      <c r="H131" s="32" t="n"/>
      <c r="I131" s="32" t="n"/>
      <c r="J131" s="32" t="n"/>
    </row>
    <row r="132" ht="15" customHeight="1" s="21">
      <c r="A132" s="32" t="inlineStr">
        <is>
          <t>PPL + Upper / Lower</t>
        </is>
      </c>
      <c r="B132" s="32" t="inlineStr">
        <is>
          <t>Upper</t>
        </is>
      </c>
      <c r="C132" s="32" t="n">
        <v>1</v>
      </c>
      <c r="D132" s="32" t="inlineStr">
        <is>
          <t>Any vertical push (overhead press)</t>
        </is>
      </c>
      <c r="E132" s="32" t="inlineStr">
        <is>
          <t>Main</t>
        </is>
      </c>
      <c r="F132" s="32" t="n"/>
      <c r="G132" s="32" t="n"/>
      <c r="H132" s="32" t="n"/>
      <c r="I132" s="32" t="n"/>
      <c r="J132" s="32" t="n"/>
    </row>
    <row r="133" ht="15" customHeight="1" s="21">
      <c r="A133" s="32" t="inlineStr">
        <is>
          <t>PPL + Upper / Lower</t>
        </is>
      </c>
      <c r="B133" s="32" t="inlineStr">
        <is>
          <t>Upper</t>
        </is>
      </c>
      <c r="C133" s="32" t="n">
        <v>2</v>
      </c>
      <c r="D133" s="32" t="inlineStr">
        <is>
          <t>Any vertical pull (pull-up, pulldown)</t>
        </is>
      </c>
      <c r="E133" s="32" t="inlineStr">
        <is>
          <t>Main</t>
        </is>
      </c>
      <c r="F133" s="32" t="n"/>
      <c r="G133" s="32" t="n"/>
      <c r="H133" s="32" t="n"/>
      <c r="I133" s="32" t="n"/>
      <c r="J133" s="32" t="n"/>
    </row>
    <row r="134" ht="15" customHeight="1" s="21">
      <c r="A134" s="32" t="inlineStr">
        <is>
          <t>PPL + Upper / Lower</t>
        </is>
      </c>
      <c r="B134" s="32" t="inlineStr">
        <is>
          <t>Upper</t>
        </is>
      </c>
      <c r="C134" s="32" t="n">
        <v>3</v>
      </c>
      <c r="D134" s="32" t="inlineStr">
        <is>
          <t>Any horizontal push (bench, press-up)</t>
        </is>
      </c>
      <c r="E134" s="32" t="inlineStr">
        <is>
          <t>Accessory</t>
        </is>
      </c>
      <c r="F134" s="32" t="n"/>
      <c r="G134" s="32" t="n"/>
      <c r="H134" s="32" t="n"/>
      <c r="I134" s="32" t="n"/>
      <c r="J134" s="32" t="n"/>
    </row>
    <row r="135" ht="15" customHeight="1" s="21">
      <c r="A135" s="32" t="inlineStr">
        <is>
          <t>PPL + Upper / Lower</t>
        </is>
      </c>
      <c r="B135" s="32" t="inlineStr">
        <is>
          <t>Upper</t>
        </is>
      </c>
      <c r="C135" s="32" t="n">
        <v>4</v>
      </c>
      <c r="D135" s="32" t="inlineStr">
        <is>
          <t>Any horizontal pull (row)</t>
        </is>
      </c>
      <c r="E135" s="32" t="inlineStr">
        <is>
          <t>Accessory</t>
        </is>
      </c>
      <c r="F135" s="32" t="n"/>
      <c r="G135" s="32" t="n"/>
      <c r="H135" s="32" t="n"/>
      <c r="I135" s="32" t="n"/>
      <c r="J135" s="32" t="n"/>
    </row>
    <row r="136" ht="15" customHeight="1" s="21">
      <c r="A136" s="32" t="inlineStr">
        <is>
          <t>PPL + Upper / Lower</t>
        </is>
      </c>
      <c r="B136" s="32" t="inlineStr">
        <is>
          <t>Upper</t>
        </is>
      </c>
      <c r="C136" s="32" t="n">
        <v>5</v>
      </c>
      <c r="D136" s="32" t="inlineStr">
        <is>
          <t>Any core</t>
        </is>
      </c>
      <c r="E136" s="32" t="inlineStr">
        <is>
          <t>Accessory</t>
        </is>
      </c>
      <c r="F136" s="32" t="n"/>
      <c r="G136" s="32" t="n"/>
      <c r="H136" s="32" t="n"/>
      <c r="I136" s="32" t="n"/>
      <c r="J136" s="32" t="n"/>
    </row>
    <row r="137" ht="15" customHeight="1" s="21">
      <c r="A137" s="32" t="inlineStr">
        <is>
          <t>PPL + Upper / Lower</t>
        </is>
      </c>
      <c r="B137" s="32" t="inlineStr">
        <is>
          <t>Lower</t>
        </is>
      </c>
      <c r="C137" s="32" t="n">
        <v>1</v>
      </c>
      <c r="D137" s="32" t="inlineStr">
        <is>
          <t>Any hinge (deadlift)</t>
        </is>
      </c>
      <c r="E137" s="32" t="inlineStr">
        <is>
          <t>Main</t>
        </is>
      </c>
      <c r="F137" s="32" t="n"/>
      <c r="G137" s="32" t="n"/>
      <c r="H137" s="32" t="n"/>
      <c r="I137" s="32" t="n"/>
      <c r="J137" s="32" t="n"/>
    </row>
    <row r="138" ht="15" customHeight="1" s="21">
      <c r="A138" s="32" t="inlineStr">
        <is>
          <t>PPL + Upper / Lower</t>
        </is>
      </c>
      <c r="B138" s="32" t="inlineStr">
        <is>
          <t>Lower</t>
        </is>
      </c>
      <c r="C138" s="32" t="n">
        <v>2</v>
      </c>
      <c r="D138" s="32" t="inlineStr">
        <is>
          <t>Any lunge / split squat</t>
        </is>
      </c>
      <c r="E138" s="32" t="inlineStr">
        <is>
          <t>Main</t>
        </is>
      </c>
      <c r="F138" s="32" t="n"/>
      <c r="G138" s="32" t="n"/>
      <c r="H138" s="32" t="n"/>
      <c r="I138" s="32" t="n"/>
      <c r="J138" s="32" t="n"/>
    </row>
    <row r="139" ht="15" customHeight="1" s="21">
      <c r="A139" s="32" t="inlineStr">
        <is>
          <t>PPL + Upper / Lower</t>
        </is>
      </c>
      <c r="B139" s="32" t="inlineStr">
        <is>
          <t>Lower</t>
        </is>
      </c>
      <c r="C139" s="32" t="n">
        <v>3</v>
      </c>
      <c r="D139" s="32" t="inlineStr">
        <is>
          <t>Any calf raise</t>
        </is>
      </c>
      <c r="E139" s="32" t="inlineStr">
        <is>
          <t>Accessory</t>
        </is>
      </c>
      <c r="F139" s="32" t="n"/>
      <c r="G139" s="32" t="n"/>
      <c r="H139" s="32" t="n"/>
      <c r="I139" s="32" t="n"/>
      <c r="J139" s="32" t="n"/>
    </row>
    <row r="140" ht="15" customHeight="1" s="21">
      <c r="A140" s="32" t="inlineStr">
        <is>
          <t>PPL + Upper / Lower</t>
        </is>
      </c>
      <c r="B140" s="32" t="inlineStr">
        <is>
          <t>Lower</t>
        </is>
      </c>
      <c r="C140" s="32" t="n">
        <v>4</v>
      </c>
      <c r="D140" s="32" t="inlineStr">
        <is>
          <t>Any anti-rotation core</t>
        </is>
      </c>
      <c r="E140" s="32" t="inlineStr">
        <is>
          <t>Accessory</t>
        </is>
      </c>
      <c r="F140" s="32" t="n"/>
      <c r="G140" s="32" t="n"/>
      <c r="H140" s="32" t="n"/>
      <c r="I140" s="32" t="n"/>
      <c r="J140" s="32" t="n"/>
    </row>
    <row r="141" ht="15" customHeight="1" s="21">
      <c r="A141" s="32" t="inlineStr">
        <is>
          <t>Hyrox: stations ×2</t>
        </is>
      </c>
      <c r="B141" s="32" t="inlineStr">
        <is>
          <t>Stations A</t>
        </is>
      </c>
      <c r="C141" s="32" t="n">
        <v>1</v>
      </c>
      <c r="D141" s="32" t="inlineStr">
        <is>
          <t>SkiErg (metres)</t>
        </is>
      </c>
      <c r="E141" s="32" t="inlineStr">
        <is>
          <t>Main</t>
        </is>
      </c>
      <c r="F141" s="32" t="n">
        <v>4</v>
      </c>
      <c r="G141" s="32" t="n">
        <v>250</v>
      </c>
      <c r="H141" s="32" t="n">
        <v>250</v>
      </c>
      <c r="I141" s="32" t="n">
        <v>60</v>
      </c>
      <c r="J141" s="32" t="inlineStr">
        <is>
          <t>Reps are metres.</t>
        </is>
      </c>
    </row>
    <row r="142" ht="23.85" customHeight="1" s="21">
      <c r="A142" s="32" t="inlineStr">
        <is>
          <t>Hyrox: stations ×2</t>
        </is>
      </c>
      <c r="B142" s="32" t="inlineStr">
        <is>
          <t>Stations A</t>
        </is>
      </c>
      <c r="C142" s="32" t="n">
        <v>2</v>
      </c>
      <c r="D142" s="32" t="inlineStr">
        <is>
          <t>Sled Push (metres)</t>
        </is>
      </c>
      <c r="E142" s="32" t="inlineStr">
        <is>
          <t>Main</t>
        </is>
      </c>
      <c r="F142" s="32" t="n">
        <v>4</v>
      </c>
      <c r="G142" s="32" t="n">
        <v>25</v>
      </c>
      <c r="H142" s="32" t="n">
        <v>25</v>
      </c>
      <c r="I142" s="32" t="n">
        <v>90</v>
      </c>
      <c r="J142" s="32" t="inlineStr">
        <is>
          <t>Reps are metres. Starts at your division's race weight.</t>
        </is>
      </c>
    </row>
    <row r="143" ht="15" customHeight="1" s="21">
      <c r="A143" s="32" t="inlineStr">
        <is>
          <t>Hyrox: stations ×2</t>
        </is>
      </c>
      <c r="B143" s="32" t="inlineStr">
        <is>
          <t>Stations A</t>
        </is>
      </c>
      <c r="C143" s="32" t="n">
        <v>3</v>
      </c>
      <c r="D143" s="32" t="inlineStr">
        <is>
          <t>Burpee Broad Jumps (metres)</t>
        </is>
      </c>
      <c r="E143" s="32" t="inlineStr">
        <is>
          <t>Accessory</t>
        </is>
      </c>
      <c r="F143" s="32" t="n">
        <v>3</v>
      </c>
      <c r="G143" s="32" t="n">
        <v>20</v>
      </c>
      <c r="H143" s="32" t="n">
        <v>20</v>
      </c>
      <c r="I143" s="32" t="n">
        <v>60</v>
      </c>
      <c r="J143" s="32" t="inlineStr">
        <is>
          <t>Reps are metres.</t>
        </is>
      </c>
    </row>
    <row r="144" ht="15" customHeight="1" s="21">
      <c r="A144" s="32" t="inlineStr">
        <is>
          <t>Hyrox: stations ×2</t>
        </is>
      </c>
      <c r="B144" s="32" t="inlineStr">
        <is>
          <t>Stations A</t>
        </is>
      </c>
      <c r="C144" s="32" t="n">
        <v>4</v>
      </c>
      <c r="D144" s="32" t="inlineStr">
        <is>
          <t>Wall Balls</t>
        </is>
      </c>
      <c r="E144" s="32" t="inlineStr">
        <is>
          <t>Accessory</t>
        </is>
      </c>
      <c r="F144" s="32" t="n">
        <v>4</v>
      </c>
      <c r="G144" s="32" t="n">
        <v>15</v>
      </c>
      <c r="H144" s="32" t="n">
        <v>20</v>
      </c>
      <c r="I144" s="32" t="n">
        <v>60</v>
      </c>
      <c r="J144" s="32" t="n"/>
    </row>
    <row r="145" ht="15" customHeight="1" s="21">
      <c r="A145" s="32" t="inlineStr">
        <is>
          <t>Hyrox: stations ×2</t>
        </is>
      </c>
      <c r="B145" s="32" t="inlineStr">
        <is>
          <t>Stations A</t>
        </is>
      </c>
      <c r="C145" s="32" t="n">
        <v>5</v>
      </c>
      <c r="D145" s="32" t="inlineStr">
        <is>
          <t>Any core</t>
        </is>
      </c>
      <c r="E145" s="32" t="inlineStr">
        <is>
          <t>Accessory</t>
        </is>
      </c>
      <c r="F145" s="32" t="n"/>
      <c r="G145" s="32" t="n"/>
      <c r="H145" s="32" t="n"/>
      <c r="I145" s="32" t="n"/>
      <c r="J145" s="32" t="n"/>
    </row>
    <row r="146" ht="15" customHeight="1" s="21">
      <c r="A146" s="32" t="inlineStr">
        <is>
          <t>Hyrox: stations ×2</t>
        </is>
      </c>
      <c r="B146" s="32" t="inlineStr">
        <is>
          <t>Stations B</t>
        </is>
      </c>
      <c r="C146" s="32" t="n">
        <v>1</v>
      </c>
      <c r="D146" s="32" t="inlineStr">
        <is>
          <t>Rowing (metres)</t>
        </is>
      </c>
      <c r="E146" s="32" t="inlineStr">
        <is>
          <t>Main</t>
        </is>
      </c>
      <c r="F146" s="32" t="n">
        <v>4</v>
      </c>
      <c r="G146" s="32" t="n">
        <v>250</v>
      </c>
      <c r="H146" s="32" t="n">
        <v>250</v>
      </c>
      <c r="I146" s="32" t="n">
        <v>60</v>
      </c>
      <c r="J146" s="32" t="inlineStr">
        <is>
          <t>Reps are metres.</t>
        </is>
      </c>
    </row>
    <row r="147" ht="23.85" customHeight="1" s="21">
      <c r="A147" s="32" t="inlineStr">
        <is>
          <t>Hyrox: stations ×2</t>
        </is>
      </c>
      <c r="B147" s="32" t="inlineStr">
        <is>
          <t>Stations B</t>
        </is>
      </c>
      <c r="C147" s="32" t="n">
        <v>2</v>
      </c>
      <c r="D147" s="32" t="inlineStr">
        <is>
          <t>Sled Pull (metres)</t>
        </is>
      </c>
      <c r="E147" s="32" t="inlineStr">
        <is>
          <t>Main</t>
        </is>
      </c>
      <c r="F147" s="32" t="n">
        <v>4</v>
      </c>
      <c r="G147" s="32" t="n">
        <v>25</v>
      </c>
      <c r="H147" s="32" t="n">
        <v>25</v>
      </c>
      <c r="I147" s="32" t="n">
        <v>90</v>
      </c>
      <c r="J147" s="32" t="inlineStr">
        <is>
          <t>Reps are metres. Starts at your division's race weight.</t>
        </is>
      </c>
    </row>
    <row r="148" ht="15" customHeight="1" s="21">
      <c r="A148" s="32" t="inlineStr">
        <is>
          <t>Hyrox: stations ×2</t>
        </is>
      </c>
      <c r="B148" s="32" t="inlineStr">
        <is>
          <t>Stations B</t>
        </is>
      </c>
      <c r="C148" s="32" t="n">
        <v>3</v>
      </c>
      <c r="D148" s="32" t="inlineStr">
        <is>
          <t>Farmers Carry (metres)</t>
        </is>
      </c>
      <c r="E148" s="32" t="inlineStr">
        <is>
          <t>Accessory</t>
        </is>
      </c>
      <c r="F148" s="32" t="n">
        <v>4</v>
      </c>
      <c r="G148" s="32" t="n">
        <v>50</v>
      </c>
      <c r="H148" s="32" t="n">
        <v>50</v>
      </c>
      <c r="I148" s="32" t="n">
        <v>60</v>
      </c>
      <c r="J148" s="32" t="inlineStr">
        <is>
          <t>Reps are metres. Weight is per hand.</t>
        </is>
      </c>
    </row>
    <row r="149" ht="15" customHeight="1" s="21">
      <c r="A149" s="32" t="inlineStr">
        <is>
          <t>Hyrox: stations ×2</t>
        </is>
      </c>
      <c r="B149" s="32" t="inlineStr">
        <is>
          <t>Stations B</t>
        </is>
      </c>
      <c r="C149" s="32" t="n">
        <v>4</v>
      </c>
      <c r="D149" s="32" t="inlineStr">
        <is>
          <t>Sandbag Lunges (metres)</t>
        </is>
      </c>
      <c r="E149" s="32" t="inlineStr">
        <is>
          <t>Accessory</t>
        </is>
      </c>
      <c r="F149" s="32" t="n">
        <v>3</v>
      </c>
      <c r="G149" s="32" t="n">
        <v>25</v>
      </c>
      <c r="H149" s="32" t="n">
        <v>25</v>
      </c>
      <c r="I149" s="32" t="n">
        <v>60</v>
      </c>
      <c r="J149" s="32" t="inlineStr">
        <is>
          <t>Reps are metres.</t>
        </is>
      </c>
    </row>
    <row r="150" ht="15" customHeight="1" s="21">
      <c r="A150" s="32" t="inlineStr">
        <is>
          <t>Hyrox: stations ×2</t>
        </is>
      </c>
      <c r="B150" s="32" t="inlineStr">
        <is>
          <t>Stations B</t>
        </is>
      </c>
      <c r="C150" s="32" t="n">
        <v>5</v>
      </c>
      <c r="D150" s="32" t="inlineStr">
        <is>
          <t>Any anti-rotation core</t>
        </is>
      </c>
      <c r="E150" s="32" t="inlineStr">
        <is>
          <t>Accessory</t>
        </is>
      </c>
      <c r="F150" s="32" t="n"/>
      <c r="G150" s="32" t="n"/>
      <c r="H150" s="32" t="n"/>
      <c r="I150" s="32" t="n"/>
      <c r="J150" s="32" t="n"/>
    </row>
    <row r="151" ht="15" customHeight="1" s="21">
      <c r="A151" s="32" t="inlineStr">
        <is>
          <t>Hyrox: strength + stations</t>
        </is>
      </c>
      <c r="B151" s="32" t="inlineStr">
        <is>
          <t>Strength A</t>
        </is>
      </c>
      <c r="C151" s="32" t="n">
        <v>1</v>
      </c>
      <c r="D151" s="32" t="inlineStr">
        <is>
          <t>Any squat</t>
        </is>
      </c>
      <c r="E151" s="32" t="inlineStr">
        <is>
          <t>Main</t>
        </is>
      </c>
      <c r="F151" s="32" t="n"/>
      <c r="G151" s="32" t="n"/>
      <c r="H151" s="32" t="n"/>
      <c r="I151" s="32" t="n"/>
      <c r="J151" s="32" t="n"/>
    </row>
    <row r="152" ht="15" customHeight="1" s="21">
      <c r="A152" s="32" t="inlineStr">
        <is>
          <t>Hyrox: strength + stations</t>
        </is>
      </c>
      <c r="B152" s="32" t="inlineStr">
        <is>
          <t>Strength A</t>
        </is>
      </c>
      <c r="C152" s="32" t="n">
        <v>2</v>
      </c>
      <c r="D152" s="32" t="inlineStr">
        <is>
          <t>Any horizontal push (bench, press-up)</t>
        </is>
      </c>
      <c r="E152" s="32" t="inlineStr">
        <is>
          <t>Main</t>
        </is>
      </c>
      <c r="F152" s="32" t="n"/>
      <c r="G152" s="32" t="n"/>
      <c r="H152" s="32" t="n"/>
      <c r="I152" s="32" t="n"/>
      <c r="J152" s="32" t="n"/>
    </row>
    <row r="153" ht="15" customHeight="1" s="21">
      <c r="A153" s="32" t="inlineStr">
        <is>
          <t>Hyrox: strength + stations</t>
        </is>
      </c>
      <c r="B153" s="32" t="inlineStr">
        <is>
          <t>Strength A</t>
        </is>
      </c>
      <c r="C153" s="32" t="n">
        <v>3</v>
      </c>
      <c r="D153" s="32" t="inlineStr">
        <is>
          <t>Any horizontal pull (row)</t>
        </is>
      </c>
      <c r="E153" s="32" t="inlineStr">
        <is>
          <t>Accessory</t>
        </is>
      </c>
      <c r="F153" s="32" t="n"/>
      <c r="G153" s="32" t="n"/>
      <c r="H153" s="32" t="n"/>
      <c r="I153" s="32" t="n"/>
      <c r="J153" s="32" t="n"/>
    </row>
    <row r="154" ht="15" customHeight="1" s="21">
      <c r="A154" s="32" t="inlineStr">
        <is>
          <t>Hyrox: strength + stations</t>
        </is>
      </c>
      <c r="B154" s="32" t="inlineStr">
        <is>
          <t>Strength A</t>
        </is>
      </c>
      <c r="C154" s="32" t="n">
        <v>4</v>
      </c>
      <c r="D154" s="32" t="inlineStr">
        <is>
          <t>Any calf raise</t>
        </is>
      </c>
      <c r="E154" s="32" t="inlineStr">
        <is>
          <t>Accessory</t>
        </is>
      </c>
      <c r="F154" s="32" t="n"/>
      <c r="G154" s="32" t="n"/>
      <c r="H154" s="32" t="n"/>
      <c r="I154" s="32" t="n"/>
      <c r="J154" s="32" t="n"/>
    </row>
    <row r="155" ht="15" customHeight="1" s="21">
      <c r="A155" s="32" t="inlineStr">
        <is>
          <t>Hyrox: strength + stations</t>
        </is>
      </c>
      <c r="B155" s="32" t="inlineStr">
        <is>
          <t>Strength A</t>
        </is>
      </c>
      <c r="C155" s="32" t="n">
        <v>5</v>
      </c>
      <c r="D155" s="32" t="inlineStr">
        <is>
          <t>Any core</t>
        </is>
      </c>
      <c r="E155" s="32" t="inlineStr">
        <is>
          <t>Accessory</t>
        </is>
      </c>
      <c r="F155" s="32" t="n"/>
      <c r="G155" s="32" t="n"/>
      <c r="H155" s="32" t="n"/>
      <c r="I155" s="32" t="n"/>
      <c r="J155" s="32" t="n"/>
    </row>
    <row r="156" ht="15" customHeight="1" s="21">
      <c r="A156" s="32" t="inlineStr">
        <is>
          <t>Hyrox: strength + stations</t>
        </is>
      </c>
      <c r="B156" s="32" t="inlineStr">
        <is>
          <t>Stations</t>
        </is>
      </c>
      <c r="C156" s="32" t="n">
        <v>1</v>
      </c>
      <c r="D156" s="32" t="inlineStr">
        <is>
          <t>SkiErg (metres)</t>
        </is>
      </c>
      <c r="E156" s="32" t="inlineStr">
        <is>
          <t>Main</t>
        </is>
      </c>
      <c r="F156" s="32" t="n">
        <v>3</v>
      </c>
      <c r="G156" s="32" t="n">
        <v>250</v>
      </c>
      <c r="H156" s="32" t="n">
        <v>250</v>
      </c>
      <c r="I156" s="32" t="n">
        <v>45</v>
      </c>
      <c r="J156" s="32" t="inlineStr">
        <is>
          <t>Reps are metres.</t>
        </is>
      </c>
    </row>
    <row r="157" ht="15" customHeight="1" s="21">
      <c r="A157" s="32" t="inlineStr">
        <is>
          <t>Hyrox: strength + stations</t>
        </is>
      </c>
      <c r="B157" s="32" t="inlineStr">
        <is>
          <t>Stations</t>
        </is>
      </c>
      <c r="C157" s="32" t="n">
        <v>2</v>
      </c>
      <c r="D157" s="32" t="inlineStr">
        <is>
          <t>Sled Push (metres)</t>
        </is>
      </c>
      <c r="E157" s="32" t="inlineStr">
        <is>
          <t>Main</t>
        </is>
      </c>
      <c r="F157" s="32" t="n">
        <v>3</v>
      </c>
      <c r="G157" s="32" t="n">
        <v>25</v>
      </c>
      <c r="H157" s="32" t="n">
        <v>25</v>
      </c>
      <c r="I157" s="32" t="n">
        <v>75</v>
      </c>
      <c r="J157" s="32" t="inlineStr">
        <is>
          <t>Reps are metres.</t>
        </is>
      </c>
    </row>
    <row r="158" ht="15" customHeight="1" s="21">
      <c r="A158" s="32" t="inlineStr">
        <is>
          <t>Hyrox: strength + stations</t>
        </is>
      </c>
      <c r="B158" s="32" t="inlineStr">
        <is>
          <t>Stations</t>
        </is>
      </c>
      <c r="C158" s="32" t="n">
        <v>3</v>
      </c>
      <c r="D158" s="32" t="inlineStr">
        <is>
          <t>Sled Pull (metres)</t>
        </is>
      </c>
      <c r="E158" s="32" t="inlineStr">
        <is>
          <t>Accessory</t>
        </is>
      </c>
      <c r="F158" s="32" t="n">
        <v>3</v>
      </c>
      <c r="G158" s="32" t="n">
        <v>25</v>
      </c>
      <c r="H158" s="32" t="n">
        <v>25</v>
      </c>
      <c r="I158" s="32" t="n">
        <v>75</v>
      </c>
      <c r="J158" s="32" t="inlineStr">
        <is>
          <t>Reps are metres.</t>
        </is>
      </c>
    </row>
    <row r="159" ht="15" customHeight="1" s="21">
      <c r="A159" s="32" t="inlineStr">
        <is>
          <t>Hyrox: strength + stations</t>
        </is>
      </c>
      <c r="B159" s="32" t="inlineStr">
        <is>
          <t>Stations</t>
        </is>
      </c>
      <c r="C159" s="32" t="n">
        <v>4</v>
      </c>
      <c r="D159" s="32" t="inlineStr">
        <is>
          <t>Burpee Broad Jumps (metres)</t>
        </is>
      </c>
      <c r="E159" s="32" t="inlineStr">
        <is>
          <t>Accessory</t>
        </is>
      </c>
      <c r="F159" s="32" t="n">
        <v>3</v>
      </c>
      <c r="G159" s="32" t="n">
        <v>20</v>
      </c>
      <c r="H159" s="32" t="n">
        <v>20</v>
      </c>
      <c r="I159" s="32" t="n">
        <v>45</v>
      </c>
      <c r="J159" s="32" t="inlineStr">
        <is>
          <t>Reps are metres.</t>
        </is>
      </c>
    </row>
    <row r="160" ht="15" customHeight="1" s="21">
      <c r="A160" s="32" t="inlineStr">
        <is>
          <t>Hyrox: strength + stations</t>
        </is>
      </c>
      <c r="B160" s="32" t="inlineStr">
        <is>
          <t>Stations</t>
        </is>
      </c>
      <c r="C160" s="32" t="n">
        <v>5</v>
      </c>
      <c r="D160" s="32" t="inlineStr">
        <is>
          <t>Rowing (metres)</t>
        </is>
      </c>
      <c r="E160" s="32" t="inlineStr">
        <is>
          <t>Accessory</t>
        </is>
      </c>
      <c r="F160" s="32" t="n">
        <v>3</v>
      </c>
      <c r="G160" s="32" t="n">
        <v>250</v>
      </c>
      <c r="H160" s="32" t="n">
        <v>250</v>
      </c>
      <c r="I160" s="32" t="n">
        <v>45</v>
      </c>
      <c r="J160" s="32" t="inlineStr">
        <is>
          <t>Reps are metres.</t>
        </is>
      </c>
    </row>
    <row r="161" ht="15" customHeight="1" s="21">
      <c r="A161" s="32" t="inlineStr">
        <is>
          <t>Hyrox: strength + stations</t>
        </is>
      </c>
      <c r="B161" s="32" t="inlineStr">
        <is>
          <t>Stations</t>
        </is>
      </c>
      <c r="C161" s="32" t="n">
        <v>6</v>
      </c>
      <c r="D161" s="32" t="inlineStr">
        <is>
          <t>Farmers Carry (metres)</t>
        </is>
      </c>
      <c r="E161" s="32" t="inlineStr">
        <is>
          <t>Accessory</t>
        </is>
      </c>
      <c r="F161" s="32" t="n">
        <v>3</v>
      </c>
      <c r="G161" s="32" t="n">
        <v>50</v>
      </c>
      <c r="H161" s="32" t="n">
        <v>50</v>
      </c>
      <c r="I161" s="32" t="n">
        <v>45</v>
      </c>
      <c r="J161" s="32" t="inlineStr">
        <is>
          <t>Reps are metres. Weight is per hand.</t>
        </is>
      </c>
    </row>
    <row r="162" ht="15" customHeight="1" s="21">
      <c r="A162" s="32" t="inlineStr">
        <is>
          <t>Hyrox: strength + stations</t>
        </is>
      </c>
      <c r="B162" s="32" t="inlineStr">
        <is>
          <t>Stations</t>
        </is>
      </c>
      <c r="C162" s="32" t="n">
        <v>7</v>
      </c>
      <c r="D162" s="32" t="inlineStr">
        <is>
          <t>Sandbag Lunges (metres)</t>
        </is>
      </c>
      <c r="E162" s="32" t="inlineStr">
        <is>
          <t>Accessory</t>
        </is>
      </c>
      <c r="F162" s="32" t="n">
        <v>3</v>
      </c>
      <c r="G162" s="32" t="n">
        <v>25</v>
      </c>
      <c r="H162" s="32" t="n">
        <v>25</v>
      </c>
      <c r="I162" s="32" t="n">
        <v>45</v>
      </c>
      <c r="J162" s="32" t="inlineStr">
        <is>
          <t>Reps are metres.</t>
        </is>
      </c>
    </row>
    <row r="163" ht="15" customHeight="1" s="21">
      <c r="A163" s="32" t="inlineStr">
        <is>
          <t>Hyrox: strength + stations</t>
        </is>
      </c>
      <c r="B163" s="32" t="inlineStr">
        <is>
          <t>Stations</t>
        </is>
      </c>
      <c r="C163" s="32" t="n">
        <v>8</v>
      </c>
      <c r="D163" s="32" t="inlineStr">
        <is>
          <t>Wall Balls</t>
        </is>
      </c>
      <c r="E163" s="32" t="inlineStr">
        <is>
          <t>Accessory</t>
        </is>
      </c>
      <c r="F163" s="32" t="n">
        <v>3</v>
      </c>
      <c r="G163" s="32" t="n">
        <v>20</v>
      </c>
      <c r="H163" s="32" t="n">
        <v>20</v>
      </c>
      <c r="I163" s="32" t="n">
        <v>45</v>
      </c>
      <c r="J163" s="32" t="n"/>
    </row>
    <row r="164" ht="15" customHeight="1" s="21">
      <c r="A164" s="32" t="inlineStr">
        <is>
          <t>Hyrox: strength + stations</t>
        </is>
      </c>
      <c r="B164" s="32" t="inlineStr">
        <is>
          <t>Strength B</t>
        </is>
      </c>
      <c r="C164" s="32" t="n">
        <v>1</v>
      </c>
      <c r="D164" s="32" t="inlineStr">
        <is>
          <t>Any hinge (deadlift)</t>
        </is>
      </c>
      <c r="E164" s="32" t="inlineStr">
        <is>
          <t>Main</t>
        </is>
      </c>
      <c r="F164" s="32" t="n"/>
      <c r="G164" s="32" t="n"/>
      <c r="H164" s="32" t="n"/>
      <c r="I164" s="32" t="n"/>
      <c r="J164" s="32" t="n"/>
    </row>
    <row r="165" ht="15" customHeight="1" s="21">
      <c r="A165" s="32" t="inlineStr">
        <is>
          <t>Hyrox: strength + stations</t>
        </is>
      </c>
      <c r="B165" s="32" t="inlineStr">
        <is>
          <t>Strength B</t>
        </is>
      </c>
      <c r="C165" s="32" t="n">
        <v>2</v>
      </c>
      <c r="D165" s="32" t="inlineStr">
        <is>
          <t>Any vertical pull (pull-up, pulldown)</t>
        </is>
      </c>
      <c r="E165" s="32" t="inlineStr">
        <is>
          <t>Main</t>
        </is>
      </c>
      <c r="F165" s="32" t="n"/>
      <c r="G165" s="32" t="n"/>
      <c r="H165" s="32" t="n"/>
      <c r="I165" s="32" t="n"/>
      <c r="J165" s="32" t="n"/>
    </row>
    <row r="166" ht="15" customHeight="1" s="21">
      <c r="A166" s="32" t="inlineStr">
        <is>
          <t>Hyrox: strength + stations</t>
        </is>
      </c>
      <c r="B166" s="32" t="inlineStr">
        <is>
          <t>Strength B</t>
        </is>
      </c>
      <c r="C166" s="32" t="n">
        <v>3</v>
      </c>
      <c r="D166" s="32" t="inlineStr">
        <is>
          <t>Any lunge / split squat</t>
        </is>
      </c>
      <c r="E166" s="32" t="inlineStr">
        <is>
          <t>Accessory</t>
        </is>
      </c>
      <c r="F166" s="32" t="n"/>
      <c r="G166" s="32" t="n"/>
      <c r="H166" s="32" t="n"/>
      <c r="I166" s="32" t="n"/>
      <c r="J166" s="32" t="n"/>
    </row>
    <row r="167" ht="15" customHeight="1" s="21">
      <c r="A167" s="32" t="inlineStr">
        <is>
          <t>Hyrox: strength + stations</t>
        </is>
      </c>
      <c r="B167" s="32" t="inlineStr">
        <is>
          <t>Strength B</t>
        </is>
      </c>
      <c r="C167" s="32" t="n">
        <v>4</v>
      </c>
      <c r="D167" s="32" t="inlineStr">
        <is>
          <t>Any vertical push (overhead press)</t>
        </is>
      </c>
      <c r="E167" s="32" t="inlineStr">
        <is>
          <t>Accessory</t>
        </is>
      </c>
      <c r="F167" s="32" t="n"/>
      <c r="G167" s="32" t="n"/>
      <c r="H167" s="32" t="n"/>
      <c r="I167" s="32" t="n"/>
      <c r="J167" s="32" t="n"/>
    </row>
    <row r="168" ht="15" customHeight="1" s="21">
      <c r="A168" s="32" t="inlineStr">
        <is>
          <t>Hyrox: strength + stations</t>
        </is>
      </c>
      <c r="B168" s="32" t="inlineStr">
        <is>
          <t>Strength B</t>
        </is>
      </c>
      <c r="C168" s="32" t="n">
        <v>5</v>
      </c>
      <c r="D168" s="32" t="inlineStr">
        <is>
          <t>Any anti-rotation core</t>
        </is>
      </c>
      <c r="E168" s="32" t="inlineStr">
        <is>
          <t>Accessory</t>
        </is>
      </c>
      <c r="F168" s="32" t="n"/>
      <c r="G168" s="32" t="n"/>
      <c r="H168" s="32" t="n"/>
      <c r="I168" s="32" t="n"/>
      <c r="J168" s="32" t="n"/>
    </row>
    <row r="169" ht="23.85" customHeight="1" s="21">
      <c r="A169" s="32" t="inlineStr">
        <is>
          <t>PPL + Upper + Shoulders &amp; arms</t>
        </is>
      </c>
      <c r="B169" s="32" t="inlineStr">
        <is>
          <t>Push</t>
        </is>
      </c>
      <c r="C169" s="32" t="n">
        <v>1</v>
      </c>
      <c r="D169" s="32" t="inlineStr">
        <is>
          <t>Barbell Bench Press</t>
        </is>
      </c>
      <c r="E169" s="32" t="inlineStr">
        <is>
          <t>Main</t>
        </is>
      </c>
      <c r="F169" s="32" t="n">
        <v>2</v>
      </c>
      <c r="G169" s="32" t="n">
        <v>6</v>
      </c>
      <c r="H169" s="32" t="n">
        <v>8</v>
      </c>
      <c r="I169" s="32" t="n">
        <v>150</v>
      </c>
      <c r="J169" s="32" t="n"/>
    </row>
    <row r="170" ht="23.85" customHeight="1" s="21">
      <c r="A170" s="32" t="inlineStr">
        <is>
          <t>PPL + Upper + Shoulders &amp; arms</t>
        </is>
      </c>
      <c r="B170" s="32" t="inlineStr">
        <is>
          <t>Push</t>
        </is>
      </c>
      <c r="C170" s="32" t="n">
        <v>2</v>
      </c>
      <c r="D170" s="32" t="inlineStr">
        <is>
          <t>Chest Press Machine</t>
        </is>
      </c>
      <c r="E170" s="32" t="inlineStr">
        <is>
          <t>Accessory</t>
        </is>
      </c>
      <c r="F170" s="32" t="n">
        <v>3</v>
      </c>
      <c r="G170" s="32" t="n">
        <v>8</v>
      </c>
      <c r="H170" s="32" t="n">
        <v>12</v>
      </c>
      <c r="I170" s="32" t="n">
        <v>90</v>
      </c>
      <c r="J170" s="32" t="n"/>
    </row>
    <row r="171" ht="23.85" customHeight="1" s="21">
      <c r="A171" s="32" t="inlineStr">
        <is>
          <t>PPL + Upper + Shoulders &amp; arms</t>
        </is>
      </c>
      <c r="B171" s="32" t="inlineStr">
        <is>
          <t>Push</t>
        </is>
      </c>
      <c r="C171" s="32" t="n">
        <v>3</v>
      </c>
      <c r="D171" s="32" t="inlineStr">
        <is>
          <t>Dumbbell Lateral Raise</t>
        </is>
      </c>
      <c r="E171" s="32" t="inlineStr">
        <is>
          <t>Accessory</t>
        </is>
      </c>
      <c r="F171" s="32" t="n">
        <v>3</v>
      </c>
      <c r="G171" s="32" t="n">
        <v>8</v>
      </c>
      <c r="H171" s="32" t="n">
        <v>12</v>
      </c>
      <c r="I171" s="32" t="n">
        <v>90</v>
      </c>
      <c r="J171" s="32" t="n"/>
    </row>
    <row r="172" ht="23.85" customHeight="1" s="21">
      <c r="A172" s="32" t="inlineStr">
        <is>
          <t>PPL + Upper + Shoulders &amp; arms</t>
        </is>
      </c>
      <c r="B172" s="32" t="inlineStr">
        <is>
          <t>Push</t>
        </is>
      </c>
      <c r="C172" s="32" t="n">
        <v>4</v>
      </c>
      <c r="D172" s="32" t="inlineStr">
        <is>
          <t>Cable Fly</t>
        </is>
      </c>
      <c r="E172" s="32" t="inlineStr">
        <is>
          <t>Accessory</t>
        </is>
      </c>
      <c r="F172" s="32" t="n">
        <v>3</v>
      </c>
      <c r="G172" s="32" t="n">
        <v>8</v>
      </c>
      <c r="H172" s="32" t="n">
        <v>12</v>
      </c>
      <c r="I172" s="32" t="n">
        <v>90</v>
      </c>
      <c r="J172" s="32" t="n"/>
    </row>
    <row r="173" ht="23.85" customHeight="1" s="21">
      <c r="A173" s="32" t="inlineStr">
        <is>
          <t>PPL + Upper + Shoulders &amp; arms</t>
        </is>
      </c>
      <c r="B173" s="32" t="inlineStr">
        <is>
          <t>Push</t>
        </is>
      </c>
      <c r="C173" s="32" t="n">
        <v>5</v>
      </c>
      <c r="D173" s="32" t="inlineStr">
        <is>
          <t>Triceps Pushdown</t>
        </is>
      </c>
      <c r="E173" s="32" t="inlineStr">
        <is>
          <t>Accessory</t>
        </is>
      </c>
      <c r="F173" s="32" t="n">
        <v>3</v>
      </c>
      <c r="G173" s="32" t="n">
        <v>8</v>
      </c>
      <c r="H173" s="32" t="n">
        <v>12</v>
      </c>
      <c r="I173" s="32" t="n">
        <v>90</v>
      </c>
      <c r="J173" s="32" t="n"/>
    </row>
    <row r="174" ht="23.85" customHeight="1" s="21">
      <c r="A174" s="32" t="inlineStr">
        <is>
          <t>PPL + Upper + Shoulders &amp; arms</t>
        </is>
      </c>
      <c r="B174" s="32" t="inlineStr">
        <is>
          <t>Push</t>
        </is>
      </c>
      <c r="C174" s="32" t="n">
        <v>6</v>
      </c>
      <c r="D174" s="32" t="inlineStr">
        <is>
          <t>Overhead Triceps Extension</t>
        </is>
      </c>
      <c r="E174" s="32" t="inlineStr">
        <is>
          <t>Accessory</t>
        </is>
      </c>
      <c r="F174" s="32" t="n">
        <v>3</v>
      </c>
      <c r="G174" s="32" t="n">
        <v>8</v>
      </c>
      <c r="H174" s="32" t="n">
        <v>12</v>
      </c>
      <c r="I174" s="32" t="n">
        <v>90</v>
      </c>
      <c r="J174" s="32" t="n"/>
    </row>
    <row r="175" ht="23.85" customHeight="1" s="21">
      <c r="A175" s="32" t="inlineStr">
        <is>
          <t>PPL + Upper + Shoulders &amp; arms</t>
        </is>
      </c>
      <c r="B175" s="32" t="inlineStr">
        <is>
          <t>Pull</t>
        </is>
      </c>
      <c r="C175" s="32" t="n">
        <v>1</v>
      </c>
      <c r="D175" s="32" t="inlineStr">
        <is>
          <t>Lat Pulldown</t>
        </is>
      </c>
      <c r="E175" s="32" t="inlineStr">
        <is>
          <t>Main</t>
        </is>
      </c>
      <c r="F175" s="32" t="n">
        <v>2</v>
      </c>
      <c r="G175" s="32" t="n">
        <v>6</v>
      </c>
      <c r="H175" s="32" t="n">
        <v>8</v>
      </c>
      <c r="I175" s="32" t="n">
        <v>150</v>
      </c>
      <c r="J175" s="32" t="n"/>
    </row>
    <row r="176" ht="23.85" customHeight="1" s="21">
      <c r="A176" s="32" t="inlineStr">
        <is>
          <t>PPL + Upper + Shoulders &amp; arms</t>
        </is>
      </c>
      <c r="B176" s="32" t="inlineStr">
        <is>
          <t>Pull</t>
        </is>
      </c>
      <c r="C176" s="32" t="n">
        <v>2</v>
      </c>
      <c r="D176" s="32" t="inlineStr">
        <is>
          <t>Rear Delt Fly</t>
        </is>
      </c>
      <c r="E176" s="32" t="inlineStr">
        <is>
          <t>Accessory</t>
        </is>
      </c>
      <c r="F176" s="32" t="n">
        <v>3</v>
      </c>
      <c r="G176" s="32" t="n">
        <v>8</v>
      </c>
      <c r="H176" s="32" t="n">
        <v>12</v>
      </c>
      <c r="I176" s="32" t="n">
        <v>90</v>
      </c>
      <c r="J176" s="32" t="n"/>
    </row>
    <row r="177" ht="23.85" customHeight="1" s="21">
      <c r="A177" s="32" t="inlineStr">
        <is>
          <t>PPL + Upper + Shoulders &amp; arms</t>
        </is>
      </c>
      <c r="B177" s="32" t="inlineStr">
        <is>
          <t>Pull</t>
        </is>
      </c>
      <c r="C177" s="32" t="n">
        <v>3</v>
      </c>
      <c r="D177" s="32" t="inlineStr">
        <is>
          <t>Dumbbell Curl</t>
        </is>
      </c>
      <c r="E177" s="32" t="inlineStr">
        <is>
          <t>Accessory</t>
        </is>
      </c>
      <c r="F177" s="32" t="n">
        <v>3</v>
      </c>
      <c r="G177" s="32" t="n">
        <v>8</v>
      </c>
      <c r="H177" s="32" t="n">
        <v>12</v>
      </c>
      <c r="I177" s="32" t="n">
        <v>90</v>
      </c>
      <c r="J177" s="32" t="n"/>
    </row>
    <row r="178" ht="23.85" customHeight="1" s="21">
      <c r="A178" s="32" t="inlineStr">
        <is>
          <t>PPL + Upper + Shoulders &amp; arms</t>
        </is>
      </c>
      <c r="B178" s="32" t="inlineStr">
        <is>
          <t>Pull</t>
        </is>
      </c>
      <c r="C178" s="32" t="n">
        <v>4</v>
      </c>
      <c r="D178" s="32" t="inlineStr">
        <is>
          <t>Seated Cable Row</t>
        </is>
      </c>
      <c r="E178" s="32" t="inlineStr">
        <is>
          <t>Main</t>
        </is>
      </c>
      <c r="F178" s="32" t="n">
        <v>3</v>
      </c>
      <c r="G178" s="32" t="n">
        <v>6</v>
      </c>
      <c r="H178" s="32" t="n">
        <v>8</v>
      </c>
      <c r="I178" s="32" t="n">
        <v>150</v>
      </c>
      <c r="J178" s="32" t="n"/>
    </row>
    <row r="179" ht="23.85" customHeight="1" s="21">
      <c r="A179" s="32" t="inlineStr">
        <is>
          <t>PPL + Upper + Shoulders &amp; arms</t>
        </is>
      </c>
      <c r="B179" s="32" t="inlineStr">
        <is>
          <t>Pull</t>
        </is>
      </c>
      <c r="C179" s="32" t="n">
        <v>5</v>
      </c>
      <c r="D179" s="32" t="inlineStr">
        <is>
          <t>Preacher Curl</t>
        </is>
      </c>
      <c r="E179" s="32" t="inlineStr">
        <is>
          <t>Accessory</t>
        </is>
      </c>
      <c r="F179" s="32" t="n">
        <v>3</v>
      </c>
      <c r="G179" s="32" t="n">
        <v>8</v>
      </c>
      <c r="H179" s="32" t="n">
        <v>12</v>
      </c>
      <c r="I179" s="32" t="n">
        <v>90</v>
      </c>
      <c r="J179" s="32" t="n"/>
    </row>
    <row r="180" ht="23.85" customHeight="1" s="21">
      <c r="A180" s="32" t="inlineStr">
        <is>
          <t>PPL + Upper + Shoulders &amp; arms</t>
        </is>
      </c>
      <c r="B180" s="32" t="inlineStr">
        <is>
          <t>Pull</t>
        </is>
      </c>
      <c r="C180" s="32" t="n">
        <v>6</v>
      </c>
      <c r="D180" s="32" t="inlineStr">
        <is>
          <t>Face Pull</t>
        </is>
      </c>
      <c r="E180" s="32" t="inlineStr">
        <is>
          <t>Accessory</t>
        </is>
      </c>
      <c r="F180" s="32" t="n">
        <v>3</v>
      </c>
      <c r="G180" s="32" t="n">
        <v>8</v>
      </c>
      <c r="H180" s="32" t="n">
        <v>12</v>
      </c>
      <c r="I180" s="32" t="n">
        <v>90</v>
      </c>
      <c r="J180" s="32" t="n"/>
    </row>
    <row r="181" ht="23.85" customHeight="1" s="21">
      <c r="A181" s="32" t="inlineStr">
        <is>
          <t>PPL + Upper + Shoulders &amp; arms</t>
        </is>
      </c>
      <c r="B181" s="32" t="inlineStr">
        <is>
          <t>Legs</t>
        </is>
      </c>
      <c r="C181" s="32" t="n">
        <v>1</v>
      </c>
      <c r="D181" s="32" t="inlineStr">
        <is>
          <t>Barbell Back Squat</t>
        </is>
      </c>
      <c r="E181" s="32" t="inlineStr">
        <is>
          <t>Main</t>
        </is>
      </c>
      <c r="F181" s="32" t="n">
        <v>3</v>
      </c>
      <c r="G181" s="32" t="n">
        <v>6</v>
      </c>
      <c r="H181" s="32" t="n">
        <v>8</v>
      </c>
      <c r="I181" s="32" t="n">
        <v>150</v>
      </c>
      <c r="J181" s="32" t="n"/>
    </row>
    <row r="182" ht="23.85" customHeight="1" s="21">
      <c r="A182" s="32" t="inlineStr">
        <is>
          <t>PPL + Upper + Shoulders &amp; arms</t>
        </is>
      </c>
      <c r="B182" s="32" t="inlineStr">
        <is>
          <t>Legs</t>
        </is>
      </c>
      <c r="C182" s="32" t="n">
        <v>2</v>
      </c>
      <c r="D182" s="32" t="inlineStr">
        <is>
          <t>Romanian Deadlift</t>
        </is>
      </c>
      <c r="E182" s="32" t="inlineStr">
        <is>
          <t>Main</t>
        </is>
      </c>
      <c r="F182" s="32" t="n">
        <v>3</v>
      </c>
      <c r="G182" s="32" t="n">
        <v>6</v>
      </c>
      <c r="H182" s="32" t="n">
        <v>8</v>
      </c>
      <c r="I182" s="32" t="n">
        <v>150</v>
      </c>
      <c r="J182" s="32" t="n"/>
    </row>
    <row r="183" ht="23.85" customHeight="1" s="21">
      <c r="A183" s="32" t="inlineStr">
        <is>
          <t>PPL + Upper + Shoulders &amp; arms</t>
        </is>
      </c>
      <c r="B183" s="32" t="inlineStr">
        <is>
          <t>Legs</t>
        </is>
      </c>
      <c r="C183" s="32" t="n">
        <v>3</v>
      </c>
      <c r="D183" s="32" t="inlineStr">
        <is>
          <t>Leg Press</t>
        </is>
      </c>
      <c r="E183" s="32" t="inlineStr">
        <is>
          <t>Main</t>
        </is>
      </c>
      <c r="F183" s="32" t="n">
        <v>3</v>
      </c>
      <c r="G183" s="32" t="n">
        <v>6</v>
      </c>
      <c r="H183" s="32" t="n">
        <v>8</v>
      </c>
      <c r="I183" s="32" t="n">
        <v>150</v>
      </c>
      <c r="J183" s="32" t="n"/>
    </row>
    <row r="184" ht="23.85" customHeight="1" s="21">
      <c r="A184" s="32" t="inlineStr">
        <is>
          <t>PPL + Upper + Shoulders &amp; arms</t>
        </is>
      </c>
      <c r="B184" s="32" t="inlineStr">
        <is>
          <t>Legs</t>
        </is>
      </c>
      <c r="C184" s="32" t="n">
        <v>4</v>
      </c>
      <c r="D184" s="32" t="inlineStr">
        <is>
          <t>Hanging Leg Raise</t>
        </is>
      </c>
      <c r="E184" s="32" t="inlineStr">
        <is>
          <t>Accessory</t>
        </is>
      </c>
      <c r="F184" s="32" t="n">
        <v>3</v>
      </c>
      <c r="G184" s="32" t="n">
        <v>8</v>
      </c>
      <c r="H184" s="32" t="n">
        <v>12</v>
      </c>
      <c r="I184" s="32" t="n">
        <v>90</v>
      </c>
      <c r="J184" s="32" t="n"/>
    </row>
    <row r="185" ht="23.85" customHeight="1" s="21">
      <c r="A185" s="32" t="inlineStr">
        <is>
          <t>PPL + Upper + Shoulders &amp; arms</t>
        </is>
      </c>
      <c r="B185" s="32" t="inlineStr">
        <is>
          <t>Legs</t>
        </is>
      </c>
      <c r="C185" s="32" t="n">
        <v>5</v>
      </c>
      <c r="D185" s="32" t="inlineStr">
        <is>
          <t>Cable Crunch</t>
        </is>
      </c>
      <c r="E185" s="32" t="inlineStr">
        <is>
          <t>Accessory</t>
        </is>
      </c>
      <c r="F185" s="32" t="n">
        <v>3</v>
      </c>
      <c r="G185" s="32" t="n">
        <v>8</v>
      </c>
      <c r="H185" s="32" t="n">
        <v>12</v>
      </c>
      <c r="I185" s="32" t="n">
        <v>90</v>
      </c>
      <c r="J185" s="32" t="n"/>
    </row>
    <row r="186" ht="23.85" customHeight="1" s="21">
      <c r="A186" s="32" t="inlineStr">
        <is>
          <t>PPL + Upper + Shoulders &amp; arms</t>
        </is>
      </c>
      <c r="B186" s="32" t="inlineStr">
        <is>
          <t>Legs</t>
        </is>
      </c>
      <c r="C186" s="32" t="n">
        <v>6</v>
      </c>
      <c r="D186" s="32" t="inlineStr">
        <is>
          <t>Leg Extension</t>
        </is>
      </c>
      <c r="E186" s="32" t="inlineStr">
        <is>
          <t>Accessory</t>
        </is>
      </c>
      <c r="F186" s="32" t="n">
        <v>3</v>
      </c>
      <c r="G186" s="32" t="n">
        <v>8</v>
      </c>
      <c r="H186" s="32" t="n">
        <v>12</v>
      </c>
      <c r="I186" s="32" t="n">
        <v>90</v>
      </c>
      <c r="J186" s="32" t="n"/>
    </row>
    <row r="187" ht="23.85" customHeight="1" s="21">
      <c r="A187" s="32" t="inlineStr">
        <is>
          <t>PPL + Upper + Shoulders &amp; arms</t>
        </is>
      </c>
      <c r="B187" s="32" t="inlineStr">
        <is>
          <t>Legs</t>
        </is>
      </c>
      <c r="C187" s="32" t="n">
        <v>7</v>
      </c>
      <c r="D187" s="32" t="inlineStr">
        <is>
          <t>Leg Curl</t>
        </is>
      </c>
      <c r="E187" s="32" t="inlineStr">
        <is>
          <t>Accessory</t>
        </is>
      </c>
      <c r="F187" s="32" t="n">
        <v>3</v>
      </c>
      <c r="G187" s="32" t="n">
        <v>8</v>
      </c>
      <c r="H187" s="32" t="n">
        <v>12</v>
      </c>
      <c r="I187" s="32" t="n">
        <v>90</v>
      </c>
      <c r="J187" s="32" t="n"/>
    </row>
    <row r="188" ht="23.85" customHeight="1" s="21">
      <c r="A188" s="32" t="inlineStr">
        <is>
          <t>PPL + Upper + Shoulders &amp; arms</t>
        </is>
      </c>
      <c r="B188" s="32" t="inlineStr">
        <is>
          <t>Upper</t>
        </is>
      </c>
      <c r="C188" s="32" t="n">
        <v>1</v>
      </c>
      <c r="D188" s="32" t="inlineStr">
        <is>
          <t>Incline Dumbbell Press</t>
        </is>
      </c>
      <c r="E188" s="32" t="inlineStr">
        <is>
          <t>Main</t>
        </is>
      </c>
      <c r="F188" s="32" t="n">
        <v>2</v>
      </c>
      <c r="G188" s="32" t="n">
        <v>8</v>
      </c>
      <c r="H188" s="32" t="n">
        <v>12</v>
      </c>
      <c r="I188" s="32" t="n">
        <v>150</v>
      </c>
      <c r="J188" s="32" t="n"/>
    </row>
    <row r="189" ht="23.85" customHeight="1" s="21">
      <c r="A189" s="32" t="inlineStr">
        <is>
          <t>PPL + Upper + Shoulders &amp; arms</t>
        </is>
      </c>
      <c r="B189" s="32" t="inlineStr">
        <is>
          <t>Upper</t>
        </is>
      </c>
      <c r="C189" s="32" t="n">
        <v>2</v>
      </c>
      <c r="D189" s="32" t="inlineStr">
        <is>
          <t>Barbell Row</t>
        </is>
      </c>
      <c r="E189" s="32" t="inlineStr">
        <is>
          <t>Main</t>
        </is>
      </c>
      <c r="F189" s="32" t="n">
        <v>2</v>
      </c>
      <c r="G189" s="32" t="n">
        <v>6</v>
      </c>
      <c r="H189" s="32" t="n">
        <v>8</v>
      </c>
      <c r="I189" s="32" t="n">
        <v>150</v>
      </c>
      <c r="J189" s="32" t="n"/>
    </row>
    <row r="190" ht="23.85" customHeight="1" s="21">
      <c r="A190" s="32" t="inlineStr">
        <is>
          <t>PPL + Upper + Shoulders &amp; arms</t>
        </is>
      </c>
      <c r="B190" s="32" t="inlineStr">
        <is>
          <t>Upper</t>
        </is>
      </c>
      <c r="C190" s="32" t="n">
        <v>3</v>
      </c>
      <c r="D190" s="32" t="inlineStr">
        <is>
          <t>Hammer Curl</t>
        </is>
      </c>
      <c r="E190" s="32" t="inlineStr">
        <is>
          <t>Accessory</t>
        </is>
      </c>
      <c r="F190" s="32" t="n">
        <v>3</v>
      </c>
      <c r="G190" s="32" t="n">
        <v>8</v>
      </c>
      <c r="H190" s="32" t="n">
        <v>12</v>
      </c>
      <c r="I190" s="32" t="n">
        <v>90</v>
      </c>
      <c r="J190" s="32" t="n"/>
    </row>
    <row r="191" ht="23.85" customHeight="1" s="21">
      <c r="A191" s="32" t="inlineStr">
        <is>
          <t>PPL + Upper + Shoulders &amp; arms</t>
        </is>
      </c>
      <c r="B191" s="32" t="inlineStr">
        <is>
          <t>Upper</t>
        </is>
      </c>
      <c r="C191" s="32" t="n">
        <v>4</v>
      </c>
      <c r="D191" s="32" t="inlineStr">
        <is>
          <t>Chest Press Machine</t>
        </is>
      </c>
      <c r="E191" s="32" t="inlineStr">
        <is>
          <t>Accessory</t>
        </is>
      </c>
      <c r="F191" s="32" t="n">
        <v>3</v>
      </c>
      <c r="G191" s="32" t="n">
        <v>8</v>
      </c>
      <c r="H191" s="32" t="n">
        <v>12</v>
      </c>
      <c r="I191" s="32" t="n">
        <v>90</v>
      </c>
      <c r="J191" s="32" t="n"/>
    </row>
    <row r="192" ht="23.85" customHeight="1" s="21">
      <c r="A192" s="32" t="inlineStr">
        <is>
          <t>PPL + Upper + Shoulders &amp; arms</t>
        </is>
      </c>
      <c r="B192" s="32" t="inlineStr">
        <is>
          <t>Upper</t>
        </is>
      </c>
      <c r="C192" s="32" t="n">
        <v>5</v>
      </c>
      <c r="D192" s="32" t="inlineStr">
        <is>
          <t>Lat Pulldown</t>
        </is>
      </c>
      <c r="E192" s="32" t="inlineStr">
        <is>
          <t>Accessory</t>
        </is>
      </c>
      <c r="F192" s="32" t="n">
        <v>3</v>
      </c>
      <c r="G192" s="32" t="n">
        <v>8</v>
      </c>
      <c r="H192" s="32" t="n">
        <v>12</v>
      </c>
      <c r="I192" s="32" t="n">
        <v>90</v>
      </c>
      <c r="J192" s="32" t="n"/>
    </row>
    <row r="193" ht="23.85" customHeight="1" s="21">
      <c r="A193" s="32" t="inlineStr">
        <is>
          <t>PPL + Upper + Shoulders &amp; arms</t>
        </is>
      </c>
      <c r="B193" s="32" t="inlineStr">
        <is>
          <t>Upper</t>
        </is>
      </c>
      <c r="C193" s="32" t="n">
        <v>6</v>
      </c>
      <c r="D193" s="32" t="inlineStr">
        <is>
          <t>Dips</t>
        </is>
      </c>
      <c r="E193" s="32" t="inlineStr">
        <is>
          <t>Accessory</t>
        </is>
      </c>
      <c r="F193" s="32" t="n">
        <v>3</v>
      </c>
      <c r="G193" s="32" t="n">
        <v>8</v>
      </c>
      <c r="H193" s="32" t="n">
        <v>12</v>
      </c>
      <c r="I193" s="32" t="n">
        <v>90</v>
      </c>
      <c r="J193" s="32" t="n"/>
    </row>
    <row r="194" ht="23.85" customHeight="1" s="21">
      <c r="A194" s="32" t="inlineStr">
        <is>
          <t>PPL + Upper + Shoulders &amp; arms</t>
        </is>
      </c>
      <c r="B194" s="32" t="inlineStr">
        <is>
          <t>Upper</t>
        </is>
      </c>
      <c r="C194" s="32" t="n">
        <v>7</v>
      </c>
      <c r="D194" s="32" t="inlineStr">
        <is>
          <t>Overhead Triceps Extension</t>
        </is>
      </c>
      <c r="E194" s="32" t="inlineStr">
        <is>
          <t>Accessory</t>
        </is>
      </c>
      <c r="F194" s="32" t="n">
        <v>3</v>
      </c>
      <c r="G194" s="32" t="n">
        <v>8</v>
      </c>
      <c r="H194" s="32" t="n">
        <v>12</v>
      </c>
      <c r="I194" s="32" t="n">
        <v>90</v>
      </c>
      <c r="J194" s="32" t="n"/>
    </row>
    <row r="195" ht="23.85" customHeight="1" s="21">
      <c r="A195" s="32" t="inlineStr">
        <is>
          <t>PPL + Upper + Shoulders &amp; arms</t>
        </is>
      </c>
      <c r="B195" s="32" t="inlineStr">
        <is>
          <t>Shoulders &amp; arms</t>
        </is>
      </c>
      <c r="C195" s="32" t="n">
        <v>1</v>
      </c>
      <c r="D195" s="32" t="inlineStr">
        <is>
          <t>Overhead Press</t>
        </is>
      </c>
      <c r="E195" s="32" t="inlineStr">
        <is>
          <t>Main</t>
        </is>
      </c>
      <c r="F195" s="32" t="n">
        <v>3</v>
      </c>
      <c r="G195" s="32" t="n">
        <v>6</v>
      </c>
      <c r="H195" s="32" t="n">
        <v>8</v>
      </c>
      <c r="I195" s="32" t="n">
        <v>150</v>
      </c>
      <c r="J195" s="32" t="n"/>
    </row>
    <row r="196" ht="23.85" customHeight="1" s="21">
      <c r="A196" s="32" t="inlineStr">
        <is>
          <t>PPL + Upper + Shoulders &amp; arms</t>
        </is>
      </c>
      <c r="B196" s="32" t="inlineStr">
        <is>
          <t>Shoulders &amp; arms</t>
        </is>
      </c>
      <c r="C196" s="32" t="n">
        <v>2</v>
      </c>
      <c r="D196" s="32" t="inlineStr">
        <is>
          <t>Rear Delt Fly</t>
        </is>
      </c>
      <c r="E196" s="32" t="inlineStr">
        <is>
          <t>Accessory</t>
        </is>
      </c>
      <c r="F196" s="32" t="n">
        <v>3</v>
      </c>
      <c r="G196" s="32" t="n">
        <v>8</v>
      </c>
      <c r="H196" s="32" t="n">
        <v>12</v>
      </c>
      <c r="I196" s="32" t="n">
        <v>90</v>
      </c>
      <c r="J196" s="32" t="n"/>
    </row>
    <row r="197" ht="23.85" customHeight="1" s="21">
      <c r="A197" s="32" t="inlineStr">
        <is>
          <t>PPL + Upper + Shoulders &amp; arms</t>
        </is>
      </c>
      <c r="B197" s="32" t="inlineStr">
        <is>
          <t>Shoulders &amp; arms</t>
        </is>
      </c>
      <c r="C197" s="32" t="n">
        <v>3</v>
      </c>
      <c r="D197" s="32" t="inlineStr">
        <is>
          <t>Close-Grip Bench Press</t>
        </is>
      </c>
      <c r="E197" s="32" t="inlineStr">
        <is>
          <t>Main</t>
        </is>
      </c>
      <c r="F197" s="32" t="n">
        <v>3</v>
      </c>
      <c r="G197" s="32" t="n">
        <v>6</v>
      </c>
      <c r="H197" s="32" t="n">
        <v>8</v>
      </c>
      <c r="I197" s="32" t="n">
        <v>150</v>
      </c>
      <c r="J197" s="32" t="n"/>
    </row>
    <row r="198" ht="23.85" customHeight="1" s="21">
      <c r="A198" s="32" t="inlineStr">
        <is>
          <t>PPL + Upper + Shoulders &amp; arms</t>
        </is>
      </c>
      <c r="B198" s="32" t="inlineStr">
        <is>
          <t>Shoulders &amp; arms</t>
        </is>
      </c>
      <c r="C198" s="32" t="n">
        <v>4</v>
      </c>
      <c r="D198" s="32" t="inlineStr">
        <is>
          <t>Dumbbell Lateral Raise</t>
        </is>
      </c>
      <c r="E198" s="32" t="inlineStr">
        <is>
          <t>Accessory</t>
        </is>
      </c>
      <c r="F198" s="32" t="n">
        <v>3</v>
      </c>
      <c r="G198" s="32" t="n">
        <v>8</v>
      </c>
      <c r="H198" s="32" t="n">
        <v>12</v>
      </c>
      <c r="I198" s="32" t="n">
        <v>90</v>
      </c>
      <c r="J198" s="32" t="n"/>
    </row>
    <row r="199" ht="23.85" customHeight="1" s="21">
      <c r="A199" s="32" t="inlineStr">
        <is>
          <t>PPL + Upper + Shoulders &amp; arms</t>
        </is>
      </c>
      <c r="B199" s="32" t="inlineStr">
        <is>
          <t>Shoulders &amp; arms</t>
        </is>
      </c>
      <c r="C199" s="32" t="n">
        <v>5</v>
      </c>
      <c r="D199" s="32" t="inlineStr">
        <is>
          <t>Triceps Pushdown</t>
        </is>
      </c>
      <c r="E199" s="32" t="inlineStr">
        <is>
          <t>Accessory</t>
        </is>
      </c>
      <c r="F199" s="32" t="n">
        <v>3</v>
      </c>
      <c r="G199" s="32" t="n">
        <v>8</v>
      </c>
      <c r="H199" s="32" t="n">
        <v>12</v>
      </c>
      <c r="I199" s="32" t="n">
        <v>90</v>
      </c>
      <c r="J199" s="32" t="n"/>
    </row>
    <row r="200" ht="23.85" customHeight="1" s="21">
      <c r="A200" s="32" t="inlineStr">
        <is>
          <t>PPL + Upper + Shoulders &amp; arms</t>
        </is>
      </c>
      <c r="B200" s="32" t="inlineStr">
        <is>
          <t>Shoulders &amp; arms</t>
        </is>
      </c>
      <c r="C200" s="32" t="n">
        <v>6</v>
      </c>
      <c r="D200" s="32" t="inlineStr">
        <is>
          <t>Dumbbell Curl</t>
        </is>
      </c>
      <c r="E200" s="32" t="inlineStr">
        <is>
          <t>Accessory</t>
        </is>
      </c>
      <c r="F200" s="32" t="n">
        <v>3</v>
      </c>
      <c r="G200" s="32" t="n">
        <v>8</v>
      </c>
      <c r="H200" s="32" t="n">
        <v>12</v>
      </c>
      <c r="I200" s="32" t="n">
        <v>90</v>
      </c>
      <c r="J200" s="32" t="n"/>
    </row>
    <row r="201" ht="15" customHeight="1" s="21">
      <c r="A201" s="32" t="inlineStr">
        <is>
          <t>Push / Pull / Legs / Upper</t>
        </is>
      </c>
      <c r="B201" s="32" t="inlineStr">
        <is>
          <t>Push</t>
        </is>
      </c>
      <c r="C201" s="32" t="n">
        <v>1</v>
      </c>
      <c r="D201" s="32" t="inlineStr">
        <is>
          <t>Barbell Bench Press</t>
        </is>
      </c>
      <c r="E201" s="32" t="inlineStr">
        <is>
          <t>Main</t>
        </is>
      </c>
      <c r="F201" s="32" t="n">
        <v>2</v>
      </c>
      <c r="G201" s="32" t="n">
        <v>6</v>
      </c>
      <c r="H201" s="32" t="n">
        <v>8</v>
      </c>
      <c r="I201" s="32" t="n">
        <v>150</v>
      </c>
      <c r="J201" s="32" t="n"/>
    </row>
    <row r="202" ht="85.05" customHeight="1" s="21">
      <c r="A202" s="32" t="inlineStr">
        <is>
          <t>Push / Pull / Legs / Upper</t>
        </is>
      </c>
      <c r="B202" s="32" t="inlineStr">
        <is>
          <t>Push</t>
        </is>
      </c>
      <c r="C202" s="32" t="n">
        <v>2</v>
      </c>
      <c r="D202" s="32" t="inlineStr">
        <is>
          <t>Chest Press Machine</t>
        </is>
      </c>
      <c r="E202" s="32" t="inlineStr">
        <is>
          <t>Accessory</t>
        </is>
      </c>
      <c r="F202" s="32" t="n">
        <v>3</v>
      </c>
      <c r="G202" s="32" t="n">
        <v>8</v>
      </c>
      <c r="H202" s="32" t="n">
        <v>12</v>
      </c>
      <c r="I202" s="32" t="n">
        <v>90</v>
      </c>
      <c r="J202" s="32" t="n"/>
    </row>
    <row r="203" ht="32.8" customHeight="1" s="21">
      <c r="A203" s="32" t="inlineStr">
        <is>
          <t>Push / Pull / Legs / Upper</t>
        </is>
      </c>
      <c r="B203" s="32" t="inlineStr">
        <is>
          <t>Push</t>
        </is>
      </c>
      <c r="C203" s="32" t="n">
        <v>3</v>
      </c>
      <c r="D203" s="32" t="inlineStr">
        <is>
          <t>Dumbbell Lateral Raise</t>
        </is>
      </c>
      <c r="E203" s="32" t="inlineStr">
        <is>
          <t>Accessory</t>
        </is>
      </c>
      <c r="F203" s="32" t="n">
        <v>3</v>
      </c>
      <c r="G203" s="32" t="n">
        <v>8</v>
      </c>
      <c r="H203" s="32" t="n">
        <v>12</v>
      </c>
      <c r="I203" s="32" t="n">
        <v>90</v>
      </c>
      <c r="J203" s="32" t="n"/>
    </row>
    <row r="204" ht="15" customHeight="1" s="21">
      <c r="A204" s="32" t="inlineStr">
        <is>
          <t>Push / Pull / Legs / Upper</t>
        </is>
      </c>
      <c r="B204" s="32" t="inlineStr">
        <is>
          <t>Push</t>
        </is>
      </c>
      <c r="C204" s="32" t="n">
        <v>4</v>
      </c>
      <c r="D204" s="32" t="inlineStr">
        <is>
          <t>Cable Fly</t>
        </is>
      </c>
      <c r="E204" s="32" t="inlineStr">
        <is>
          <t>Accessory</t>
        </is>
      </c>
      <c r="F204" s="32" t="n">
        <v>3</v>
      </c>
      <c r="G204" s="32" t="n">
        <v>8</v>
      </c>
      <c r="H204" s="32" t="n">
        <v>12</v>
      </c>
      <c r="I204" s="32" t="n">
        <v>90</v>
      </c>
      <c r="J204" s="32" t="n"/>
    </row>
    <row r="205" ht="15" customHeight="1" s="21">
      <c r="A205" s="32" t="inlineStr">
        <is>
          <t>Push / Pull / Legs / Upper</t>
        </is>
      </c>
      <c r="B205" s="32" t="inlineStr">
        <is>
          <t>Push</t>
        </is>
      </c>
      <c r="C205" s="32" t="n">
        <v>5</v>
      </c>
      <c r="D205" s="32" t="inlineStr">
        <is>
          <t>Triceps Pushdown</t>
        </is>
      </c>
      <c r="E205" s="32" t="inlineStr">
        <is>
          <t>Accessory</t>
        </is>
      </c>
      <c r="F205" s="32" t="n">
        <v>3</v>
      </c>
      <c r="G205" s="32" t="n">
        <v>8</v>
      </c>
      <c r="H205" s="32" t="n">
        <v>12</v>
      </c>
      <c r="I205" s="32" t="n">
        <v>90</v>
      </c>
      <c r="J205" s="32" t="n"/>
    </row>
    <row r="206" ht="15" customHeight="1" s="21">
      <c r="A206" s="32" t="inlineStr">
        <is>
          <t>Push / Pull / Legs / Upper</t>
        </is>
      </c>
      <c r="B206" s="32" t="inlineStr">
        <is>
          <t>Push</t>
        </is>
      </c>
      <c r="C206" s="32" t="n">
        <v>6</v>
      </c>
      <c r="D206" s="32" t="inlineStr">
        <is>
          <t>Overhead Triceps Extension</t>
        </is>
      </c>
      <c r="E206" s="32" t="inlineStr">
        <is>
          <t>Accessory</t>
        </is>
      </c>
      <c r="F206" s="32" t="n">
        <v>3</v>
      </c>
      <c r="G206" s="32" t="n">
        <v>8</v>
      </c>
      <c r="H206" s="32" t="n">
        <v>12</v>
      </c>
      <c r="I206" s="32" t="n">
        <v>90</v>
      </c>
      <c r="J206" s="32" t="n"/>
    </row>
    <row r="207" ht="15" customHeight="1" s="21">
      <c r="A207" s="32" t="inlineStr">
        <is>
          <t>Push / Pull / Legs / Upper</t>
        </is>
      </c>
      <c r="B207" s="32" t="inlineStr">
        <is>
          <t>Pull</t>
        </is>
      </c>
      <c r="C207" s="32" t="n">
        <v>1</v>
      </c>
      <c r="D207" s="32" t="inlineStr">
        <is>
          <t>Lat Pulldown</t>
        </is>
      </c>
      <c r="E207" s="32" t="inlineStr">
        <is>
          <t>Main</t>
        </is>
      </c>
      <c r="F207" s="32" t="n">
        <v>2</v>
      </c>
      <c r="G207" s="32" t="n">
        <v>6</v>
      </c>
      <c r="H207" s="32" t="n">
        <v>8</v>
      </c>
      <c r="I207" s="32" t="n">
        <v>150</v>
      </c>
      <c r="J207" s="32" t="n"/>
    </row>
    <row r="208" ht="15" customHeight="1" s="21">
      <c r="A208" s="32" t="inlineStr">
        <is>
          <t>Push / Pull / Legs / Upper</t>
        </is>
      </c>
      <c r="B208" s="32" t="inlineStr">
        <is>
          <t>Pull</t>
        </is>
      </c>
      <c r="C208" s="32" t="n">
        <v>2</v>
      </c>
      <c r="D208" s="32" t="inlineStr">
        <is>
          <t>Rear Delt Fly</t>
        </is>
      </c>
      <c r="E208" s="32" t="inlineStr">
        <is>
          <t>Accessory</t>
        </is>
      </c>
      <c r="F208" s="32" t="n">
        <v>3</v>
      </c>
      <c r="G208" s="32" t="n">
        <v>8</v>
      </c>
      <c r="H208" s="32" t="n">
        <v>12</v>
      </c>
      <c r="I208" s="32" t="n">
        <v>90</v>
      </c>
      <c r="J208" s="32" t="n"/>
    </row>
    <row r="209" ht="15" customHeight="1" s="21">
      <c r="A209" s="32" t="inlineStr">
        <is>
          <t>Push / Pull / Legs / Upper</t>
        </is>
      </c>
      <c r="B209" s="32" t="inlineStr">
        <is>
          <t>Pull</t>
        </is>
      </c>
      <c r="C209" s="32" t="n">
        <v>3</v>
      </c>
      <c r="D209" s="32" t="inlineStr">
        <is>
          <t>Dumbbell Curl</t>
        </is>
      </c>
      <c r="E209" s="32" t="inlineStr">
        <is>
          <t>Accessory</t>
        </is>
      </c>
      <c r="F209" s="32" t="n">
        <v>3</v>
      </c>
      <c r="G209" s="32" t="n">
        <v>8</v>
      </c>
      <c r="H209" s="32" t="n">
        <v>12</v>
      </c>
      <c r="I209" s="32" t="n">
        <v>90</v>
      </c>
      <c r="J209" s="32" t="n"/>
    </row>
    <row r="210" ht="15" customHeight="1" s="21">
      <c r="A210" s="32" t="inlineStr">
        <is>
          <t>Push / Pull / Legs / Upper</t>
        </is>
      </c>
      <c r="B210" s="32" t="inlineStr">
        <is>
          <t>Pull</t>
        </is>
      </c>
      <c r="C210" s="32" t="n">
        <v>4</v>
      </c>
      <c r="D210" s="32" t="inlineStr">
        <is>
          <t>Seated Cable Row</t>
        </is>
      </c>
      <c r="E210" s="32" t="inlineStr">
        <is>
          <t>Main</t>
        </is>
      </c>
      <c r="F210" s="32" t="n">
        <v>3</v>
      </c>
      <c r="G210" s="32" t="n">
        <v>6</v>
      </c>
      <c r="H210" s="32" t="n">
        <v>8</v>
      </c>
      <c r="I210" s="32" t="n">
        <v>150</v>
      </c>
      <c r="J210" s="32" t="n"/>
    </row>
    <row r="211" ht="15" customHeight="1" s="21">
      <c r="A211" s="32" t="inlineStr">
        <is>
          <t>Push / Pull / Legs / Upper</t>
        </is>
      </c>
      <c r="B211" s="32" t="inlineStr">
        <is>
          <t>Pull</t>
        </is>
      </c>
      <c r="C211" s="32" t="n">
        <v>5</v>
      </c>
      <c r="D211" s="32" t="inlineStr">
        <is>
          <t>Preacher Curl</t>
        </is>
      </c>
      <c r="E211" s="32" t="inlineStr">
        <is>
          <t>Accessory</t>
        </is>
      </c>
      <c r="F211" s="32" t="n">
        <v>3</v>
      </c>
      <c r="G211" s="32" t="n">
        <v>8</v>
      </c>
      <c r="H211" s="32" t="n">
        <v>12</v>
      </c>
      <c r="I211" s="32" t="n">
        <v>90</v>
      </c>
      <c r="J211" s="32" t="n"/>
    </row>
    <row r="212" ht="15" customHeight="1" s="21">
      <c r="A212" s="32" t="inlineStr">
        <is>
          <t>Push / Pull / Legs / Upper</t>
        </is>
      </c>
      <c r="B212" s="32" t="inlineStr">
        <is>
          <t>Pull</t>
        </is>
      </c>
      <c r="C212" s="32" t="n">
        <v>6</v>
      </c>
      <c r="D212" s="32" t="inlineStr">
        <is>
          <t>Face Pull</t>
        </is>
      </c>
      <c r="E212" s="32" t="inlineStr">
        <is>
          <t>Accessory</t>
        </is>
      </c>
      <c r="F212" s="32" t="n">
        <v>3</v>
      </c>
      <c r="G212" s="32" t="n">
        <v>8</v>
      </c>
      <c r="H212" s="32" t="n">
        <v>12</v>
      </c>
      <c r="I212" s="32" t="n">
        <v>90</v>
      </c>
      <c r="J212" s="32" t="n"/>
    </row>
    <row r="213" ht="15" customHeight="1" s="21">
      <c r="A213" s="32" t="inlineStr">
        <is>
          <t>Push / Pull / Legs / Upper</t>
        </is>
      </c>
      <c r="B213" s="32" t="inlineStr">
        <is>
          <t>Legs</t>
        </is>
      </c>
      <c r="C213" s="32" t="n">
        <v>1</v>
      </c>
      <c r="D213" s="32" t="inlineStr">
        <is>
          <t>Barbell Back Squat</t>
        </is>
      </c>
      <c r="E213" s="32" t="inlineStr">
        <is>
          <t>Main</t>
        </is>
      </c>
      <c r="F213" s="32" t="n">
        <v>3</v>
      </c>
      <c r="G213" s="32" t="n">
        <v>6</v>
      </c>
      <c r="H213" s="32" t="n">
        <v>8</v>
      </c>
      <c r="I213" s="32" t="n">
        <v>150</v>
      </c>
      <c r="J213" s="32" t="n"/>
    </row>
    <row r="214" ht="15" customHeight="1" s="21">
      <c r="A214" s="32" t="inlineStr">
        <is>
          <t>Push / Pull / Legs / Upper</t>
        </is>
      </c>
      <c r="B214" s="32" t="inlineStr">
        <is>
          <t>Legs</t>
        </is>
      </c>
      <c r="C214" s="32" t="n">
        <v>2</v>
      </c>
      <c r="D214" s="32" t="inlineStr">
        <is>
          <t>Romanian Deadlift</t>
        </is>
      </c>
      <c r="E214" s="32" t="inlineStr">
        <is>
          <t>Main</t>
        </is>
      </c>
      <c r="F214" s="32" t="n">
        <v>3</v>
      </c>
      <c r="G214" s="32" t="n">
        <v>6</v>
      </c>
      <c r="H214" s="32" t="n">
        <v>8</v>
      </c>
      <c r="I214" s="32" t="n">
        <v>150</v>
      </c>
      <c r="J214" s="32" t="n"/>
    </row>
    <row r="215" ht="15" customHeight="1" s="21">
      <c r="A215" s="32" t="inlineStr">
        <is>
          <t>Push / Pull / Legs / Upper</t>
        </is>
      </c>
      <c r="B215" s="32" t="inlineStr">
        <is>
          <t>Legs</t>
        </is>
      </c>
      <c r="C215" s="32" t="n">
        <v>3</v>
      </c>
      <c r="D215" s="32" t="inlineStr">
        <is>
          <t>Leg Press</t>
        </is>
      </c>
      <c r="E215" s="32" t="inlineStr">
        <is>
          <t>Main</t>
        </is>
      </c>
      <c r="F215" s="32" t="n">
        <v>3</v>
      </c>
      <c r="G215" s="32" t="n">
        <v>6</v>
      </c>
      <c r="H215" s="32" t="n">
        <v>8</v>
      </c>
      <c r="I215" s="32" t="n">
        <v>150</v>
      </c>
      <c r="J215" s="32" t="n"/>
    </row>
    <row r="216" ht="15" customHeight="1" s="21">
      <c r="A216" s="32" t="inlineStr">
        <is>
          <t>Push / Pull / Legs / Upper</t>
        </is>
      </c>
      <c r="B216" s="32" t="inlineStr">
        <is>
          <t>Legs</t>
        </is>
      </c>
      <c r="C216" s="32" t="n">
        <v>4</v>
      </c>
      <c r="D216" s="32" t="inlineStr">
        <is>
          <t>Hanging Leg Raise</t>
        </is>
      </c>
      <c r="E216" s="32" t="inlineStr">
        <is>
          <t>Accessory</t>
        </is>
      </c>
      <c r="F216" s="32" t="n">
        <v>3</v>
      </c>
      <c r="G216" s="32" t="n">
        <v>8</v>
      </c>
      <c r="H216" s="32" t="n">
        <v>12</v>
      </c>
      <c r="I216" s="32" t="n">
        <v>90</v>
      </c>
      <c r="J216" s="32" t="n"/>
    </row>
    <row r="217" ht="15" customHeight="1" s="21">
      <c r="A217" s="32" t="inlineStr">
        <is>
          <t>Push / Pull / Legs / Upper</t>
        </is>
      </c>
      <c r="B217" s="32" t="inlineStr">
        <is>
          <t>Legs</t>
        </is>
      </c>
      <c r="C217" s="32" t="n">
        <v>5</v>
      </c>
      <c r="D217" s="32" t="inlineStr">
        <is>
          <t>Cable Crunch</t>
        </is>
      </c>
      <c r="E217" s="32" t="inlineStr">
        <is>
          <t>Accessory</t>
        </is>
      </c>
      <c r="F217" s="32" t="n">
        <v>3</v>
      </c>
      <c r="G217" s="32" t="n">
        <v>8</v>
      </c>
      <c r="H217" s="32" t="n">
        <v>12</v>
      </c>
      <c r="I217" s="32" t="n">
        <v>90</v>
      </c>
      <c r="J217" s="32" t="n"/>
    </row>
    <row r="218" ht="15" customHeight="1" s="21">
      <c r="A218" s="32" t="inlineStr">
        <is>
          <t>Push / Pull / Legs / Upper</t>
        </is>
      </c>
      <c r="B218" s="32" t="inlineStr">
        <is>
          <t>Legs</t>
        </is>
      </c>
      <c r="C218" s="32" t="n">
        <v>6</v>
      </c>
      <c r="D218" s="32" t="inlineStr">
        <is>
          <t>Leg Extension</t>
        </is>
      </c>
      <c r="E218" s="32" t="inlineStr">
        <is>
          <t>Accessory</t>
        </is>
      </c>
      <c r="F218" s="32" t="n">
        <v>3</v>
      </c>
      <c r="G218" s="32" t="n">
        <v>8</v>
      </c>
      <c r="H218" s="32" t="n">
        <v>12</v>
      </c>
      <c r="I218" s="32" t="n">
        <v>90</v>
      </c>
      <c r="J218" s="32" t="n"/>
    </row>
    <row r="219" ht="15" customHeight="1" s="21">
      <c r="A219" s="32" t="inlineStr">
        <is>
          <t>Push / Pull / Legs / Upper</t>
        </is>
      </c>
      <c r="B219" s="32" t="inlineStr">
        <is>
          <t>Legs</t>
        </is>
      </c>
      <c r="C219" s="32" t="n">
        <v>7</v>
      </c>
      <c r="D219" s="32" t="inlineStr">
        <is>
          <t>Leg Curl</t>
        </is>
      </c>
      <c r="E219" s="32" t="inlineStr">
        <is>
          <t>Accessory</t>
        </is>
      </c>
      <c r="F219" s="32" t="n">
        <v>3</v>
      </c>
      <c r="G219" s="32" t="n">
        <v>8</v>
      </c>
      <c r="H219" s="32" t="n">
        <v>12</v>
      </c>
      <c r="I219" s="32" t="n">
        <v>90</v>
      </c>
      <c r="J219" s="32" t="n"/>
    </row>
    <row r="220" ht="15" customHeight="1" s="21">
      <c r="A220" s="32" t="inlineStr">
        <is>
          <t>Push / Pull / Legs / Upper</t>
        </is>
      </c>
      <c r="B220" s="32" t="inlineStr">
        <is>
          <t>Upper</t>
        </is>
      </c>
      <c r="C220" s="32" t="n">
        <v>1</v>
      </c>
      <c r="D220" s="32" t="inlineStr">
        <is>
          <t>Incline Dumbbell Press</t>
        </is>
      </c>
      <c r="E220" s="32" t="inlineStr">
        <is>
          <t>Main</t>
        </is>
      </c>
      <c r="F220" s="32" t="n">
        <v>2</v>
      </c>
      <c r="G220" s="32" t="n">
        <v>8</v>
      </c>
      <c r="H220" s="32" t="n">
        <v>12</v>
      </c>
      <c r="I220" s="32" t="n">
        <v>150</v>
      </c>
      <c r="J220" s="32" t="n"/>
    </row>
    <row r="221" ht="15" customHeight="1" s="21">
      <c r="A221" s="32" t="inlineStr">
        <is>
          <t>Push / Pull / Legs / Upper</t>
        </is>
      </c>
      <c r="B221" s="32" t="inlineStr">
        <is>
          <t>Upper</t>
        </is>
      </c>
      <c r="C221" s="32" t="n">
        <v>2</v>
      </c>
      <c r="D221" s="32" t="inlineStr">
        <is>
          <t>Barbell Row</t>
        </is>
      </c>
      <c r="E221" s="32" t="inlineStr">
        <is>
          <t>Main</t>
        </is>
      </c>
      <c r="F221" s="32" t="n">
        <v>2</v>
      </c>
      <c r="G221" s="32" t="n">
        <v>6</v>
      </c>
      <c r="H221" s="32" t="n">
        <v>8</v>
      </c>
      <c r="I221" s="32" t="n">
        <v>150</v>
      </c>
      <c r="J221" s="32" t="n"/>
    </row>
    <row r="222" ht="15" customHeight="1" s="21">
      <c r="A222" s="32" t="inlineStr">
        <is>
          <t>Push / Pull / Legs / Upper</t>
        </is>
      </c>
      <c r="B222" s="32" t="inlineStr">
        <is>
          <t>Upper</t>
        </is>
      </c>
      <c r="C222" s="32" t="n">
        <v>3</v>
      </c>
      <c r="D222" s="32" t="inlineStr">
        <is>
          <t>Hammer Curl</t>
        </is>
      </c>
      <c r="E222" s="32" t="inlineStr">
        <is>
          <t>Accessory</t>
        </is>
      </c>
      <c r="F222" s="32" t="n">
        <v>3</v>
      </c>
      <c r="G222" s="32" t="n">
        <v>8</v>
      </c>
      <c r="H222" s="32" t="n">
        <v>12</v>
      </c>
      <c r="I222" s="32" t="n">
        <v>90</v>
      </c>
      <c r="J222" s="32" t="n"/>
    </row>
    <row r="223" ht="15" customHeight="1" s="21">
      <c r="A223" s="32" t="inlineStr">
        <is>
          <t>Push / Pull / Legs / Upper</t>
        </is>
      </c>
      <c r="B223" s="32" t="inlineStr">
        <is>
          <t>Upper</t>
        </is>
      </c>
      <c r="C223" s="32" t="n">
        <v>4</v>
      </c>
      <c r="D223" s="32" t="inlineStr">
        <is>
          <t>Chest Press Machine</t>
        </is>
      </c>
      <c r="E223" s="32" t="inlineStr">
        <is>
          <t>Accessory</t>
        </is>
      </c>
      <c r="F223" s="32" t="n">
        <v>3</v>
      </c>
      <c r="G223" s="32" t="n">
        <v>8</v>
      </c>
      <c r="H223" s="32" t="n">
        <v>12</v>
      </c>
      <c r="I223" s="32" t="n">
        <v>90</v>
      </c>
      <c r="J223" s="32" t="n"/>
    </row>
    <row r="224" ht="15" customHeight="1" s="21">
      <c r="A224" s="32" t="inlineStr">
        <is>
          <t>Push / Pull / Legs / Upper</t>
        </is>
      </c>
      <c r="B224" s="32" t="inlineStr">
        <is>
          <t>Upper</t>
        </is>
      </c>
      <c r="C224" s="32" t="n">
        <v>5</v>
      </c>
      <c r="D224" s="32" t="inlineStr">
        <is>
          <t>Lat Pulldown</t>
        </is>
      </c>
      <c r="E224" s="32" t="inlineStr">
        <is>
          <t>Accessory</t>
        </is>
      </c>
      <c r="F224" s="32" t="n">
        <v>3</v>
      </c>
      <c r="G224" s="32" t="n">
        <v>8</v>
      </c>
      <c r="H224" s="32" t="n">
        <v>12</v>
      </c>
      <c r="I224" s="32" t="n">
        <v>90</v>
      </c>
      <c r="J224" s="32" t="n"/>
    </row>
    <row r="225" ht="15" customHeight="1" s="21">
      <c r="A225" s="32" t="inlineStr">
        <is>
          <t>Push / Pull / Legs / Upper</t>
        </is>
      </c>
      <c r="B225" s="32" t="inlineStr">
        <is>
          <t>Upper</t>
        </is>
      </c>
      <c r="C225" s="32" t="n">
        <v>6</v>
      </c>
      <c r="D225" s="32" t="inlineStr">
        <is>
          <t>Dips</t>
        </is>
      </c>
      <c r="E225" s="32" t="inlineStr">
        <is>
          <t>Accessory</t>
        </is>
      </c>
      <c r="F225" s="32" t="n">
        <v>3</v>
      </c>
      <c r="G225" s="32" t="n">
        <v>8</v>
      </c>
      <c r="H225" s="32" t="n">
        <v>12</v>
      </c>
      <c r="I225" s="32" t="n">
        <v>90</v>
      </c>
      <c r="J225" s="32" t="n"/>
    </row>
    <row r="226" ht="15" customHeight="1" s="21">
      <c r="A226" s="32" t="inlineStr">
        <is>
          <t>Push / Pull / Legs / Upper</t>
        </is>
      </c>
      <c r="B226" s="32" t="inlineStr">
        <is>
          <t>Upper</t>
        </is>
      </c>
      <c r="C226" s="32" t="n">
        <v>7</v>
      </c>
      <c r="D226" s="32" t="inlineStr">
        <is>
          <t>Overhead Triceps Extension</t>
        </is>
      </c>
      <c r="E226" s="32" t="inlineStr">
        <is>
          <t>Accessory</t>
        </is>
      </c>
      <c r="F226" s="32" t="n">
        <v>3</v>
      </c>
      <c r="G226" s="32" t="n">
        <v>8</v>
      </c>
      <c r="H226" s="32" t="n">
        <v>12</v>
      </c>
      <c r="I226" s="32" t="n">
        <v>90</v>
      </c>
      <c r="J226" s="32" t="n"/>
    </row>
    <row r="227" ht="15" customHeight="1" s="21">
      <c r="A227" s="32" t="n"/>
      <c r="B227" s="32" t="n"/>
      <c r="C227" s="32" t="n"/>
      <c r="D227" s="32" t="n"/>
      <c r="E227" s="32" t="n"/>
      <c r="F227" s="32" t="n"/>
      <c r="G227" s="32" t="n"/>
      <c r="H227" s="32" t="n"/>
      <c r="I227" s="32" t="n"/>
      <c r="J227" s="32" t="n"/>
    </row>
    <row r="228" ht="15" customHeight="1" s="21">
      <c r="A228" s="37" t="inlineStr">
        <is>
          <t>A first draft of every split to edit. 'Any …' lets the app choose for the user's equipment; named exercises are swapped for the closest option if they can't do them. Blank sets/reps/rest use 'Strength by goal'.</t>
        </is>
      </c>
      <c r="B228" s="32" t="n"/>
      <c r="C228" s="32" t="n"/>
      <c r="D228" s="32" t="n"/>
      <c r="E228" s="32" t="n"/>
      <c r="F228" s="32" t="n"/>
      <c r="G228" s="32" t="n"/>
      <c r="H228" s="32" t="n"/>
      <c r="I228" s="32" t="n"/>
      <c r="J228" s="32" t="n"/>
    </row>
    <row r="229" ht="15" customHeight="1" s="21">
      <c r="A229" s="37" t="inlineStr">
        <is>
          <t>Leg-heavy days are kept away from hard runs and the long run automatically.</t>
        </is>
      </c>
      <c r="B229" s="32" t="n"/>
      <c r="C229" s="32" t="n"/>
      <c r="D229" s="32" t="n"/>
      <c r="E229" s="32" t="n"/>
      <c r="F229" s="32" t="n"/>
      <c r="G229" s="32" t="n"/>
      <c r="H229" s="32" t="n"/>
      <c r="I229" s="32" t="n"/>
      <c r="J229" s="32" t="n"/>
    </row>
    <row r="230" ht="15" customHeight="1" s="21">
      <c r="A230" s="32" t="n"/>
      <c r="B230" s="32" t="n"/>
      <c r="C230" s="32" t="n"/>
      <c r="D230" s="32" t="n"/>
      <c r="E230" s="32" t="n"/>
      <c r="F230" s="32" t="n"/>
      <c r="G230" s="32" t="n"/>
      <c r="H230" s="32" t="n"/>
      <c r="I230" s="32" t="n"/>
      <c r="J230" s="32" t="n"/>
    </row>
    <row r="231" ht="15" customHeight="1" s="21">
      <c r="A231" s="32" t="n"/>
      <c r="B231" s="32" t="n"/>
      <c r="C231" s="32" t="n"/>
      <c r="D231" s="32" t="n"/>
      <c r="E231" s="32" t="n"/>
      <c r="F231" s="32" t="n"/>
      <c r="G231" s="32" t="n"/>
      <c r="H231" s="32" t="n"/>
      <c r="I231" s="32" t="n"/>
      <c r="J231" s="32" t="n"/>
    </row>
    <row r="232" ht="15" customHeight="1" s="21">
      <c r="A232" s="32" t="n"/>
      <c r="B232" s="32" t="n"/>
      <c r="C232" s="32" t="n"/>
      <c r="D232" s="32" t="n"/>
      <c r="E232" s="32" t="n"/>
      <c r="F232" s="32" t="n"/>
      <c r="G232" s="32" t="n"/>
      <c r="H232" s="32" t="n"/>
      <c r="I232" s="32" t="n"/>
      <c r="J232" s="32" t="n"/>
    </row>
    <row r="233" ht="15" customHeight="1" s="21">
      <c r="A233" s="32" t="n"/>
      <c r="B233" s="32" t="n"/>
      <c r="C233" s="32" t="n"/>
      <c r="D233" s="32" t="n"/>
      <c r="E233" s="32" t="n"/>
      <c r="F233" s="32" t="n"/>
      <c r="G233" s="32" t="n"/>
      <c r="H233" s="32" t="n"/>
      <c r="I233" s="32" t="n"/>
      <c r="J233" s="32" t="n"/>
    </row>
    <row r="234" ht="15" customHeight="1" s="21">
      <c r="A234" s="32" t="n"/>
      <c r="B234" s="32" t="n"/>
      <c r="C234" s="32" t="n"/>
      <c r="D234" s="32" t="n"/>
      <c r="E234" s="32" t="n"/>
      <c r="F234" s="32" t="n"/>
      <c r="G234" s="32" t="n"/>
      <c r="H234" s="32" t="n"/>
      <c r="I234" s="32" t="n"/>
      <c r="J234" s="32" t="n"/>
    </row>
    <row r="235" ht="15" customHeight="1" s="21">
      <c r="A235" s="32" t="n"/>
      <c r="B235" s="32" t="n"/>
      <c r="C235" s="32" t="n"/>
      <c r="D235" s="32" t="n"/>
      <c r="E235" s="32" t="n"/>
      <c r="F235" s="32" t="n"/>
      <c r="G235" s="32" t="n"/>
      <c r="H235" s="32" t="n"/>
      <c r="I235" s="32" t="n"/>
      <c r="J235" s="32" t="n"/>
    </row>
    <row r="236" ht="15" customHeight="1" s="21">
      <c r="A236" s="32" t="n"/>
      <c r="B236" s="32" t="n"/>
      <c r="C236" s="32" t="n"/>
      <c r="D236" s="32" t="n"/>
      <c r="E236" s="32" t="n"/>
      <c r="F236" s="32" t="n"/>
      <c r="G236" s="32" t="n"/>
      <c r="H236" s="32" t="n"/>
      <c r="I236" s="32" t="n"/>
      <c r="J236" s="32" t="n"/>
    </row>
    <row r="237" ht="15" customHeight="1" s="21">
      <c r="A237" s="32" t="n"/>
      <c r="B237" s="32" t="n"/>
      <c r="C237" s="32" t="n"/>
      <c r="D237" s="32" t="n"/>
      <c r="E237" s="32" t="n"/>
      <c r="F237" s="32" t="n"/>
      <c r="G237" s="32" t="n"/>
      <c r="H237" s="32" t="n"/>
      <c r="I237" s="32" t="n"/>
      <c r="J237" s="32" t="n"/>
    </row>
    <row r="238" ht="15" customHeight="1" s="21">
      <c r="A238" s="32" t="n"/>
      <c r="B238" s="32" t="n"/>
      <c r="C238" s="32" t="n"/>
      <c r="D238" s="32" t="n"/>
      <c r="E238" s="32" t="n"/>
      <c r="F238" s="32" t="n"/>
      <c r="G238" s="32" t="n"/>
      <c r="H238" s="32" t="n"/>
      <c r="I238" s="32" t="n"/>
      <c r="J238" s="32" t="n"/>
    </row>
    <row r="239" ht="15" customHeight="1" s="21">
      <c r="A239" s="32" t="n"/>
      <c r="B239" s="32" t="n"/>
      <c r="C239" s="32" t="n"/>
      <c r="D239" s="32" t="n"/>
      <c r="E239" s="32" t="n"/>
      <c r="F239" s="32" t="n"/>
      <c r="G239" s="32" t="n"/>
      <c r="H239" s="32" t="n"/>
      <c r="I239" s="32" t="n"/>
      <c r="J239" s="32" t="n"/>
    </row>
    <row r="240" ht="15" customHeight="1" s="21">
      <c r="A240" s="32" t="n"/>
      <c r="B240" s="32" t="n"/>
      <c r="C240" s="32" t="n"/>
      <c r="D240" s="32" t="n"/>
      <c r="E240" s="32" t="n"/>
      <c r="F240" s="32" t="n"/>
      <c r="G240" s="32" t="n"/>
      <c r="H240" s="32" t="n"/>
      <c r="I240" s="32" t="n"/>
      <c r="J240" s="32" t="n"/>
    </row>
    <row r="241" ht="15" customHeight="1" s="21">
      <c r="A241" s="32" t="n"/>
      <c r="B241" s="32" t="n"/>
      <c r="C241" s="32" t="n"/>
      <c r="D241" s="32" t="n"/>
      <c r="E241" s="32" t="n"/>
      <c r="F241" s="32" t="n"/>
      <c r="G241" s="32" t="n"/>
      <c r="H241" s="32" t="n"/>
      <c r="I241" s="32" t="n"/>
      <c r="J241" s="32" t="n"/>
    </row>
    <row r="242" ht="15" customHeight="1" s="21">
      <c r="A242" s="32" t="n"/>
      <c r="B242" s="32" t="n"/>
      <c r="C242" s="32" t="n"/>
      <c r="D242" s="32" t="n"/>
      <c r="E242" s="32" t="n"/>
      <c r="F242" s="32" t="n"/>
      <c r="G242" s="32" t="n"/>
      <c r="H242" s="32" t="n"/>
      <c r="I242" s="32" t="n"/>
      <c r="J242" s="32" t="n"/>
    </row>
    <row r="243" ht="15" customHeight="1" s="21">
      <c r="A243" s="32" t="n"/>
      <c r="B243" s="32" t="n"/>
      <c r="C243" s="32" t="n"/>
      <c r="D243" s="32" t="n"/>
      <c r="E243" s="32" t="n"/>
      <c r="F243" s="32" t="n"/>
      <c r="G243" s="32" t="n"/>
      <c r="H243" s="32" t="n"/>
      <c r="I243" s="32" t="n"/>
      <c r="J243" s="32" t="n"/>
    </row>
    <row r="244" ht="15" customHeight="1" s="21">
      <c r="A244" s="32" t="n"/>
      <c r="B244" s="32" t="n"/>
      <c r="C244" s="32" t="n"/>
      <c r="D244" s="32" t="n"/>
      <c r="E244" s="32" t="n"/>
      <c r="F244" s="32" t="n"/>
      <c r="G244" s="32" t="n"/>
      <c r="H244" s="32" t="n"/>
      <c r="I244" s="32" t="n"/>
      <c r="J244" s="32" t="n"/>
    </row>
    <row r="245" ht="15" customHeight="1" s="21">
      <c r="A245" s="32" t="n"/>
      <c r="B245" s="32" t="n"/>
      <c r="C245" s="32" t="n"/>
      <c r="D245" s="32" t="n"/>
      <c r="E245" s="32" t="n"/>
      <c r="F245" s="32" t="n"/>
      <c r="G245" s="32" t="n"/>
      <c r="H245" s="32" t="n"/>
      <c r="I245" s="32" t="n"/>
      <c r="J245" s="32" t="n"/>
    </row>
    <row r="246" ht="15" customHeight="1" s="21">
      <c r="A246" s="32" t="n"/>
      <c r="B246" s="32" t="n"/>
      <c r="C246" s="32" t="n"/>
      <c r="D246" s="32" t="n"/>
      <c r="E246" s="32" t="n"/>
      <c r="F246" s="32" t="n"/>
      <c r="G246" s="32" t="n"/>
      <c r="H246" s="32" t="n"/>
      <c r="I246" s="32" t="n"/>
      <c r="J246" s="32" t="n"/>
    </row>
    <row r="247" ht="15" customHeight="1" s="21">
      <c r="A247" s="32" t="n"/>
      <c r="B247" s="32" t="n"/>
      <c r="C247" s="32" t="n"/>
      <c r="D247" s="32" t="n"/>
      <c r="E247" s="32" t="n"/>
      <c r="F247" s="32" t="n"/>
      <c r="G247" s="32" t="n"/>
      <c r="H247" s="32" t="n"/>
      <c r="I247" s="32" t="n"/>
      <c r="J247" s="32" t="n"/>
    </row>
    <row r="248" ht="15" customHeight="1" s="21">
      <c r="A248" s="32" t="n"/>
      <c r="B248" s="32" t="n"/>
      <c r="C248" s="32" t="n"/>
      <c r="D248" s="32" t="n"/>
      <c r="E248" s="32" t="n"/>
      <c r="F248" s="32" t="n"/>
      <c r="G248" s="32" t="n"/>
      <c r="H248" s="32" t="n"/>
      <c r="I248" s="32" t="n"/>
      <c r="J248" s="32" t="n"/>
    </row>
    <row r="249" ht="15" customHeight="1" s="21">
      <c r="A249" s="32" t="n"/>
      <c r="B249" s="32" t="n"/>
      <c r="C249" s="32" t="n"/>
      <c r="D249" s="32" t="n"/>
      <c r="E249" s="32" t="n"/>
      <c r="F249" s="32" t="n"/>
      <c r="G249" s="32" t="n"/>
      <c r="H249" s="32" t="n"/>
      <c r="I249" s="32" t="n"/>
      <c r="J249" s="32" t="n"/>
    </row>
    <row r="250" ht="15" customHeight="1" s="21">
      <c r="A250" s="32" t="n"/>
      <c r="B250" s="32" t="n"/>
      <c r="C250" s="32" t="n"/>
      <c r="D250" s="32" t="n"/>
      <c r="E250" s="32" t="n"/>
      <c r="F250" s="32" t="n"/>
      <c r="G250" s="32" t="n"/>
      <c r="H250" s="32" t="n"/>
      <c r="I250" s="32" t="n"/>
      <c r="J250" s="32" t="n"/>
    </row>
    <row r="251" ht="15" customHeight="1" s="21">
      <c r="A251" s="32" t="n"/>
      <c r="B251" s="32" t="n"/>
      <c r="C251" s="32" t="n"/>
      <c r="D251" s="32" t="n"/>
      <c r="E251" s="32" t="n"/>
      <c r="F251" s="32" t="n"/>
      <c r="G251" s="32" t="n"/>
      <c r="H251" s="32" t="n"/>
      <c r="I251" s="32" t="n"/>
      <c r="J251" s="32" t="n"/>
    </row>
    <row r="252" ht="15" customHeight="1" s="21">
      <c r="A252" s="32" t="n"/>
      <c r="B252" s="32" t="n"/>
      <c r="C252" s="32" t="n"/>
      <c r="D252" s="32" t="n"/>
      <c r="E252" s="32" t="n"/>
      <c r="F252" s="32" t="n"/>
      <c r="G252" s="32" t="n"/>
      <c r="H252" s="32" t="n"/>
      <c r="I252" s="32" t="n"/>
      <c r="J252" s="32" t="n"/>
    </row>
    <row r="253" ht="15" customHeight="1" s="21">
      <c r="A253" s="32" t="n"/>
      <c r="B253" s="32" t="n"/>
      <c r="C253" s="32" t="n"/>
      <c r="D253" s="32" t="n"/>
      <c r="E253" s="32" t="n"/>
      <c r="F253" s="32" t="n"/>
      <c r="G253" s="32" t="n"/>
      <c r="H253" s="32" t="n"/>
      <c r="I253" s="32" t="n"/>
      <c r="J253" s="32" t="n"/>
    </row>
    <row r="254" ht="15" customHeight="1" s="21">
      <c r="A254" s="32" t="n"/>
      <c r="B254" s="32" t="n"/>
      <c r="C254" s="32" t="n"/>
      <c r="D254" s="32" t="n"/>
      <c r="E254" s="32" t="n"/>
      <c r="F254" s="32" t="n"/>
      <c r="G254" s="32" t="n"/>
      <c r="H254" s="32" t="n"/>
      <c r="I254" s="32" t="n"/>
      <c r="J254" s="32" t="n"/>
    </row>
    <row r="255" ht="15" customHeight="1" s="21">
      <c r="A255" s="32" t="n"/>
      <c r="B255" s="32" t="n"/>
      <c r="C255" s="32" t="n"/>
      <c r="D255" s="32" t="n"/>
      <c r="E255" s="32" t="n"/>
      <c r="F255" s="32" t="n"/>
      <c r="G255" s="32" t="n"/>
      <c r="H255" s="32" t="n"/>
      <c r="I255" s="32" t="n"/>
      <c r="J255" s="32" t="n"/>
    </row>
    <row r="256" ht="15" customHeight="1" s="21">
      <c r="A256" s="32" t="n"/>
      <c r="B256" s="32" t="n"/>
      <c r="C256" s="32" t="n"/>
      <c r="D256" s="32" t="n"/>
      <c r="E256" s="32" t="n"/>
      <c r="F256" s="32" t="n"/>
      <c r="G256" s="32" t="n"/>
      <c r="H256" s="32" t="n"/>
      <c r="I256" s="32" t="n"/>
      <c r="J256" s="32" t="n"/>
    </row>
    <row r="257" ht="15" customHeight="1" s="21">
      <c r="A257" s="32" t="n"/>
      <c r="B257" s="32" t="n"/>
      <c r="C257" s="32" t="n"/>
      <c r="D257" s="32" t="n"/>
      <c r="E257" s="32" t="n"/>
      <c r="F257" s="32" t="n"/>
      <c r="G257" s="32" t="n"/>
      <c r="H257" s="32" t="n"/>
      <c r="I257" s="32" t="n"/>
      <c r="J257" s="32" t="n"/>
    </row>
    <row r="258" ht="15" customHeight="1" s="21">
      <c r="A258" s="32" t="n"/>
      <c r="B258" s="32" t="n"/>
      <c r="C258" s="32" t="n"/>
      <c r="D258" s="32" t="n"/>
      <c r="E258" s="32" t="n"/>
      <c r="F258" s="32" t="n"/>
      <c r="G258" s="32" t="n"/>
      <c r="H258" s="32" t="n"/>
      <c r="I258" s="32" t="n"/>
      <c r="J258" s="32" t="n"/>
    </row>
    <row r="259" ht="15" customHeight="1" s="21">
      <c r="A259" s="32" t="n"/>
      <c r="B259" s="32" t="n"/>
      <c r="C259" s="32" t="n"/>
      <c r="D259" s="32" t="n"/>
      <c r="E259" s="32" t="n"/>
      <c r="F259" s="32" t="n"/>
      <c r="G259" s="32" t="n"/>
      <c r="H259" s="32" t="n"/>
      <c r="I259" s="32" t="n"/>
      <c r="J259" s="32" t="n"/>
    </row>
    <row r="260" ht="15" customHeight="1" s="21">
      <c r="A260" s="32" t="n"/>
      <c r="B260" s="32" t="n"/>
      <c r="C260" s="32" t="n"/>
      <c r="D260" s="32" t="n"/>
      <c r="E260" s="32" t="n"/>
      <c r="F260" s="32" t="n"/>
      <c r="G260" s="32" t="n"/>
      <c r="H260" s="32" t="n"/>
      <c r="I260" s="32" t="n"/>
      <c r="J260" s="32" t="n"/>
    </row>
    <row r="261" ht="15" customHeight="1" s="21">
      <c r="A261" s="32" t="n"/>
      <c r="B261" s="32" t="n"/>
      <c r="C261" s="32" t="n"/>
      <c r="D261" s="32" t="n"/>
      <c r="E261" s="32" t="n"/>
      <c r="F261" s="32" t="n"/>
      <c r="G261" s="32" t="n"/>
      <c r="H261" s="32" t="n"/>
      <c r="I261" s="32" t="n"/>
      <c r="J261" s="32" t="n"/>
    </row>
    <row r="262" ht="15" customHeight="1" s="21">
      <c r="A262" s="32" t="n"/>
      <c r="B262" s="32" t="n"/>
      <c r="C262" s="32" t="n"/>
      <c r="D262" s="32" t="n"/>
      <c r="E262" s="32" t="n"/>
      <c r="F262" s="32" t="n"/>
      <c r="G262" s="32" t="n"/>
      <c r="H262" s="32" t="n"/>
      <c r="I262" s="32" t="n"/>
      <c r="J262" s="32" t="n"/>
    </row>
    <row r="263" ht="15" customHeight="1" s="21">
      <c r="A263" s="32" t="n"/>
      <c r="B263" s="32" t="n"/>
      <c r="C263" s="32" t="n"/>
      <c r="D263" s="32" t="n"/>
      <c r="E263" s="32" t="n"/>
      <c r="F263" s="32" t="n"/>
      <c r="G263" s="32" t="n"/>
      <c r="H263" s="32" t="n"/>
      <c r="I263" s="32" t="n"/>
      <c r="J263" s="32" t="n"/>
    </row>
    <row r="264" ht="15" customHeight="1" s="21">
      <c r="A264" s="32" t="n"/>
      <c r="B264" s="32" t="n"/>
      <c r="C264" s="32" t="n"/>
      <c r="D264" s="32" t="n"/>
      <c r="E264" s="32" t="n"/>
      <c r="F264" s="32" t="n"/>
      <c r="G264" s="32" t="n"/>
      <c r="H264" s="32" t="n"/>
      <c r="I264" s="32" t="n"/>
      <c r="J264" s="32" t="n"/>
    </row>
    <row r="265" ht="15" customHeight="1" s="21">
      <c r="A265" s="32" t="n"/>
      <c r="B265" s="32" t="n"/>
      <c r="C265" s="32" t="n"/>
      <c r="D265" s="32" t="n"/>
      <c r="E265" s="32" t="n"/>
      <c r="F265" s="32" t="n"/>
      <c r="G265" s="32" t="n"/>
      <c r="H265" s="32" t="n"/>
      <c r="I265" s="32" t="n"/>
      <c r="J265" s="32" t="n"/>
    </row>
    <row r="266" ht="15" customHeight="1" s="21">
      <c r="A266" s="32" t="n"/>
      <c r="B266" s="32" t="n"/>
      <c r="C266" s="32" t="n"/>
      <c r="D266" s="32" t="n"/>
      <c r="E266" s="32" t="n"/>
      <c r="F266" s="32" t="n"/>
      <c r="G266" s="32" t="n"/>
      <c r="H266" s="32" t="n"/>
      <c r="I266" s="32" t="n"/>
      <c r="J266" s="32" t="n"/>
    </row>
    <row r="267" ht="15" customHeight="1" s="21">
      <c r="A267" s="32" t="n"/>
      <c r="B267" s="32" t="n"/>
      <c r="C267" s="32" t="n"/>
      <c r="D267" s="32" t="n"/>
      <c r="E267" s="32" t="n"/>
      <c r="F267" s="32" t="n"/>
      <c r="G267" s="32" t="n"/>
      <c r="H267" s="32" t="n"/>
      <c r="I267" s="32" t="n"/>
      <c r="J267" s="32" t="n"/>
    </row>
    <row r="268" ht="15" customHeight="1" s="21">
      <c r="A268" s="32" t="n"/>
      <c r="B268" s="32" t="n"/>
      <c r="C268" s="32" t="n"/>
      <c r="D268" s="32" t="n"/>
      <c r="E268" s="32" t="n"/>
      <c r="F268" s="32" t="n"/>
      <c r="G268" s="32" t="n"/>
      <c r="H268" s="32" t="n"/>
      <c r="I268" s="32" t="n"/>
      <c r="J268" s="32" t="n"/>
    </row>
    <row r="269" ht="15" customHeight="1" s="21">
      <c r="A269" s="32" t="n"/>
      <c r="B269" s="32" t="n"/>
      <c r="C269" s="32" t="n"/>
      <c r="D269" s="32" t="n"/>
      <c r="E269" s="32" t="n"/>
      <c r="F269" s="32" t="n"/>
      <c r="G269" s="32" t="n"/>
      <c r="H269" s="32" t="n"/>
      <c r="I269" s="32" t="n"/>
      <c r="J269" s="32" t="n"/>
    </row>
    <row r="270" ht="15" customHeight="1" s="21">
      <c r="A270" s="32" t="n"/>
      <c r="B270" s="32" t="n"/>
      <c r="C270" s="32" t="n"/>
      <c r="D270" s="32" t="n"/>
      <c r="E270" s="32" t="n"/>
      <c r="F270" s="32" t="n"/>
      <c r="G270" s="32" t="n"/>
      <c r="H270" s="32" t="n"/>
      <c r="I270" s="32" t="n"/>
      <c r="J270" s="32" t="n"/>
    </row>
    <row r="271" ht="15" customHeight="1" s="21">
      <c r="A271" s="32" t="n"/>
      <c r="B271" s="32" t="n"/>
      <c r="C271" s="32" t="n"/>
      <c r="D271" s="32" t="n"/>
      <c r="E271" s="32" t="n"/>
      <c r="F271" s="32" t="n"/>
      <c r="G271" s="32" t="n"/>
      <c r="H271" s="32" t="n"/>
      <c r="I271" s="32" t="n"/>
      <c r="J271" s="32" t="n"/>
    </row>
    <row r="272" ht="15" customHeight="1" s="21">
      <c r="A272" s="32" t="n"/>
      <c r="B272" s="32" t="n"/>
      <c r="C272" s="32" t="n"/>
      <c r="D272" s="32" t="n"/>
      <c r="E272" s="32" t="n"/>
      <c r="F272" s="32" t="n"/>
      <c r="G272" s="32" t="n"/>
      <c r="H272" s="32" t="n"/>
      <c r="I272" s="32" t="n"/>
      <c r="J272" s="32" t="n"/>
    </row>
    <row r="273" ht="15" customHeight="1" s="21">
      <c r="A273" s="32" t="n"/>
      <c r="B273" s="32" t="n"/>
      <c r="C273" s="32" t="n"/>
      <c r="D273" s="32" t="n"/>
      <c r="E273" s="32" t="n"/>
      <c r="F273" s="32" t="n"/>
      <c r="G273" s="32" t="n"/>
      <c r="H273" s="32" t="n"/>
      <c r="I273" s="32" t="n"/>
      <c r="J273" s="32" t="n"/>
    </row>
    <row r="274" ht="15" customHeight="1" s="21">
      <c r="A274" s="32" t="n"/>
      <c r="B274" s="32" t="n"/>
      <c r="C274" s="32" t="n"/>
      <c r="D274" s="32" t="n"/>
      <c r="E274" s="32" t="n"/>
      <c r="F274" s="32" t="n"/>
      <c r="G274" s="32" t="n"/>
      <c r="H274" s="32" t="n"/>
      <c r="I274" s="32" t="n"/>
      <c r="J274" s="32" t="n"/>
    </row>
    <row r="275" ht="15" customHeight="1" s="21">
      <c r="A275" s="32" t="n"/>
      <c r="B275" s="32" t="n"/>
      <c r="C275" s="32" t="n"/>
      <c r="D275" s="32" t="n"/>
      <c r="E275" s="32" t="n"/>
      <c r="F275" s="32" t="n"/>
      <c r="G275" s="32" t="n"/>
      <c r="H275" s="32" t="n"/>
      <c r="I275" s="32" t="n"/>
      <c r="J275" s="32" t="n"/>
    </row>
    <row r="276" ht="15" customHeight="1" s="21">
      <c r="A276" s="32" t="n"/>
      <c r="B276" s="32" t="n"/>
      <c r="C276" s="32" t="n"/>
      <c r="D276" s="32" t="n"/>
      <c r="E276" s="32" t="n"/>
      <c r="F276" s="32" t="n"/>
      <c r="G276" s="32" t="n"/>
      <c r="H276" s="32" t="n"/>
      <c r="I276" s="32" t="n"/>
      <c r="J276" s="32" t="n"/>
    </row>
    <row r="277" ht="15" customHeight="1" s="21">
      <c r="A277" s="32" t="n"/>
      <c r="B277" s="32" t="n"/>
      <c r="C277" s="32" t="n"/>
      <c r="D277" s="32" t="n"/>
      <c r="E277" s="32" t="n"/>
      <c r="F277" s="32" t="n"/>
      <c r="G277" s="32" t="n"/>
      <c r="H277" s="32" t="n"/>
      <c r="I277" s="32" t="n"/>
      <c r="J277" s="32" t="n"/>
    </row>
    <row r="278" ht="15" customHeight="1" s="21">
      <c r="A278" s="32" t="n"/>
      <c r="B278" s="32" t="n"/>
      <c r="C278" s="32" t="n"/>
      <c r="D278" s="32" t="n"/>
      <c r="E278" s="32" t="n"/>
      <c r="F278" s="32" t="n"/>
      <c r="G278" s="32" t="n"/>
      <c r="H278" s="32" t="n"/>
      <c r="I278" s="32" t="n"/>
      <c r="J278" s="32" t="n"/>
    </row>
    <row r="279" ht="15" customHeight="1" s="21">
      <c r="A279" s="32" t="n"/>
      <c r="B279" s="32" t="n"/>
      <c r="C279" s="32" t="n"/>
      <c r="D279" s="32" t="n"/>
      <c r="E279" s="32" t="n"/>
      <c r="F279" s="32" t="n"/>
      <c r="G279" s="32" t="n"/>
      <c r="H279" s="32" t="n"/>
      <c r="I279" s="32" t="n"/>
      <c r="J279" s="32" t="n"/>
    </row>
    <row r="280" ht="15" customHeight="1" s="21">
      <c r="A280" s="32" t="n"/>
      <c r="B280" s="32" t="n"/>
      <c r="C280" s="32" t="n"/>
      <c r="D280" s="32" t="n"/>
      <c r="E280" s="32" t="n"/>
      <c r="F280" s="32" t="n"/>
      <c r="G280" s="32" t="n"/>
      <c r="H280" s="32" t="n"/>
      <c r="I280" s="32" t="n"/>
      <c r="J280" s="32" t="n"/>
    </row>
    <row r="281" ht="15" customHeight="1" s="21">
      <c r="A281" s="32" t="n"/>
      <c r="B281" s="32" t="n"/>
      <c r="C281" s="32" t="n"/>
      <c r="D281" s="32" t="n"/>
      <c r="E281" s="32" t="n"/>
      <c r="F281" s="32" t="n"/>
      <c r="G281" s="32" t="n"/>
      <c r="H281" s="32" t="n"/>
      <c r="I281" s="32" t="n"/>
      <c r="J281" s="32" t="n"/>
    </row>
    <row r="282" ht="15" customHeight="1" s="21">
      <c r="A282" s="32" t="n"/>
      <c r="B282" s="32" t="n"/>
      <c r="C282" s="32" t="n"/>
      <c r="D282" s="32" t="n"/>
      <c r="E282" s="32" t="n"/>
      <c r="F282" s="32" t="n"/>
      <c r="G282" s="32" t="n"/>
      <c r="H282" s="32" t="n"/>
      <c r="I282" s="32" t="n"/>
      <c r="J282" s="32" t="n"/>
    </row>
    <row r="283" ht="15" customHeight="1" s="21">
      <c r="A283" s="32" t="n"/>
      <c r="B283" s="32" t="n"/>
      <c r="C283" s="32" t="n"/>
      <c r="D283" s="32" t="n"/>
      <c r="E283" s="32" t="n"/>
      <c r="F283" s="32" t="n"/>
      <c r="G283" s="32" t="n"/>
      <c r="H283" s="32" t="n"/>
      <c r="I283" s="32" t="n"/>
      <c r="J283" s="32" t="n"/>
    </row>
    <row r="284" ht="15" customHeight="1" s="21">
      <c r="A284" s="32" t="n"/>
      <c r="B284" s="32" t="n"/>
      <c r="C284" s="32" t="n"/>
      <c r="D284" s="32" t="n"/>
      <c r="E284" s="32" t="n"/>
      <c r="F284" s="32" t="n"/>
      <c r="G284" s="32" t="n"/>
      <c r="H284" s="32" t="n"/>
      <c r="I284" s="32" t="n"/>
      <c r="J284" s="32" t="n"/>
    </row>
    <row r="285" ht="15" customHeight="1" s="21">
      <c r="A285" s="32" t="n"/>
      <c r="B285" s="32" t="n"/>
      <c r="C285" s="32" t="n"/>
      <c r="D285" s="32" t="n"/>
      <c r="E285" s="32" t="n"/>
      <c r="F285" s="32" t="n"/>
      <c r="G285" s="32" t="n"/>
      <c r="H285" s="32" t="n"/>
      <c r="I285" s="32" t="n"/>
      <c r="J285" s="32" t="n"/>
    </row>
    <row r="286" ht="15" customHeight="1" s="21">
      <c r="A286" s="32" t="n"/>
      <c r="B286" s="32" t="n"/>
      <c r="C286" s="32" t="n"/>
      <c r="D286" s="32" t="n"/>
      <c r="E286" s="32" t="n"/>
      <c r="F286" s="32" t="n"/>
      <c r="G286" s="32" t="n"/>
      <c r="H286" s="32" t="n"/>
      <c r="I286" s="32" t="n"/>
      <c r="J286" s="32" t="n"/>
    </row>
    <row r="287" ht="15" customHeight="1" s="21">
      <c r="A287" s="32" t="n"/>
      <c r="B287" s="32" t="n"/>
      <c r="C287" s="32" t="n"/>
      <c r="D287" s="32" t="n"/>
      <c r="E287" s="32" t="n"/>
      <c r="F287" s="32" t="n"/>
      <c r="G287" s="32" t="n"/>
      <c r="H287" s="32" t="n"/>
      <c r="I287" s="32" t="n"/>
      <c r="J287" s="32" t="n"/>
    </row>
    <row r="288" ht="15" customHeight="1" s="21">
      <c r="A288" s="32" t="n"/>
      <c r="B288" s="32" t="n"/>
      <c r="C288" s="32" t="n"/>
      <c r="D288" s="32" t="n"/>
      <c r="E288" s="32" t="n"/>
      <c r="F288" s="32" t="n"/>
      <c r="G288" s="32" t="n"/>
      <c r="H288" s="32" t="n"/>
      <c r="I288" s="32" t="n"/>
      <c r="J288" s="32" t="n"/>
    </row>
    <row r="289" ht="15" customHeight="1" s="21">
      <c r="A289" s="32" t="n"/>
      <c r="B289" s="32" t="n"/>
      <c r="C289" s="32" t="n"/>
      <c r="D289" s="32" t="n"/>
      <c r="E289" s="32" t="n"/>
      <c r="F289" s="32" t="n"/>
      <c r="G289" s="32" t="n"/>
      <c r="H289" s="32" t="n"/>
      <c r="I289" s="32" t="n"/>
      <c r="J289" s="32" t="n"/>
    </row>
    <row r="290" ht="15" customHeight="1" s="21">
      <c r="A290" s="32" t="n"/>
      <c r="B290" s="32" t="n"/>
      <c r="C290" s="32" t="n"/>
      <c r="D290" s="32" t="n"/>
      <c r="E290" s="32" t="n"/>
      <c r="F290" s="32" t="n"/>
      <c r="G290" s="32" t="n"/>
      <c r="H290" s="32" t="n"/>
      <c r="I290" s="32" t="n"/>
      <c r="J290" s="32" t="n"/>
    </row>
    <row r="291" ht="15" customHeight="1" s="21">
      <c r="A291" s="32" t="n"/>
      <c r="B291" s="32" t="n"/>
      <c r="C291" s="32" t="n"/>
      <c r="D291" s="32" t="n"/>
      <c r="E291" s="32" t="n"/>
      <c r="F291" s="32" t="n"/>
      <c r="G291" s="32" t="n"/>
      <c r="H291" s="32" t="n"/>
      <c r="I291" s="32" t="n"/>
      <c r="J291" s="32" t="n"/>
    </row>
    <row r="292" ht="15" customHeight="1" s="21">
      <c r="A292" s="32" t="n"/>
      <c r="B292" s="32" t="n"/>
      <c r="C292" s="32" t="n"/>
      <c r="D292" s="32" t="n"/>
      <c r="E292" s="32" t="n"/>
      <c r="F292" s="32" t="n"/>
      <c r="G292" s="32" t="n"/>
      <c r="H292" s="32" t="n"/>
      <c r="I292" s="32" t="n"/>
      <c r="J292" s="32" t="n"/>
    </row>
    <row r="293" ht="15" customHeight="1" s="21">
      <c r="A293" s="32" t="n"/>
      <c r="B293" s="32" t="n"/>
      <c r="C293" s="32" t="n"/>
      <c r="D293" s="32" t="n"/>
      <c r="E293" s="32" t="n"/>
      <c r="F293" s="32" t="n"/>
      <c r="G293" s="32" t="n"/>
      <c r="H293" s="32" t="n"/>
      <c r="I293" s="32" t="n"/>
      <c r="J293" s="32" t="n"/>
    </row>
    <row r="294" ht="15" customHeight="1" s="21">
      <c r="A294" s="32" t="n"/>
      <c r="B294" s="32" t="n"/>
      <c r="C294" s="32" t="n"/>
      <c r="D294" s="32" t="n"/>
      <c r="E294" s="32" t="n"/>
      <c r="F294" s="32" t="n"/>
      <c r="G294" s="32" t="n"/>
      <c r="H294" s="32" t="n"/>
      <c r="I294" s="32" t="n"/>
      <c r="J294" s="32" t="n"/>
    </row>
    <row r="295" ht="15" customHeight="1" s="21">
      <c r="A295" s="32" t="n"/>
      <c r="B295" s="32" t="n"/>
      <c r="C295" s="32" t="n"/>
      <c r="D295" s="32" t="n"/>
      <c r="E295" s="32" t="n"/>
      <c r="F295" s="32" t="n"/>
      <c r="G295" s="32" t="n"/>
      <c r="H295" s="32" t="n"/>
      <c r="I295" s="32" t="n"/>
      <c r="J295" s="32" t="n"/>
    </row>
    <row r="296" ht="15" customHeight="1" s="21">
      <c r="A296" s="32" t="n"/>
      <c r="B296" s="32" t="n"/>
      <c r="C296" s="32" t="n"/>
      <c r="D296" s="32" t="n"/>
      <c r="E296" s="32" t="n"/>
      <c r="F296" s="32" t="n"/>
      <c r="G296" s="32" t="n"/>
      <c r="H296" s="32" t="n"/>
      <c r="I296" s="32" t="n"/>
      <c r="J296" s="32" t="n"/>
    </row>
    <row r="297" ht="15" customHeight="1" s="21">
      <c r="A297" s="32" t="n"/>
      <c r="B297" s="32" t="n"/>
      <c r="C297" s="32" t="n"/>
      <c r="D297" s="32" t="n"/>
      <c r="E297" s="32" t="n"/>
      <c r="F297" s="32" t="n"/>
      <c r="G297" s="32" t="n"/>
      <c r="H297" s="32" t="n"/>
      <c r="I297" s="32" t="n"/>
      <c r="J297" s="32" t="n"/>
    </row>
    <row r="298" ht="15" customHeight="1" s="21">
      <c r="A298" s="32" t="n"/>
      <c r="B298" s="32" t="n"/>
      <c r="C298" s="32" t="n"/>
      <c r="D298" s="32" t="n"/>
      <c r="E298" s="32" t="n"/>
      <c r="F298" s="32" t="n"/>
      <c r="G298" s="32" t="n"/>
      <c r="H298" s="32" t="n"/>
      <c r="I298" s="32" t="n"/>
      <c r="J298" s="32" t="n"/>
    </row>
    <row r="299" ht="15" customHeight="1" s="21">
      <c r="A299" s="32" t="n"/>
      <c r="B299" s="32" t="n"/>
      <c r="C299" s="32" t="n"/>
      <c r="D299" s="32" t="n"/>
      <c r="E299" s="32" t="n"/>
      <c r="F299" s="32" t="n"/>
      <c r="G299" s="32" t="n"/>
      <c r="H299" s="32" t="n"/>
      <c r="I299" s="32" t="n"/>
      <c r="J299" s="32" t="n"/>
    </row>
    <row r="300" ht="15" customHeight="1" s="21">
      <c r="A300" s="32" t="n"/>
      <c r="B300" s="32" t="n"/>
      <c r="C300" s="32" t="n"/>
      <c r="D300" s="32" t="n"/>
      <c r="E300" s="32" t="n"/>
      <c r="F300" s="32" t="n"/>
      <c r="G300" s="32" t="n"/>
      <c r="H300" s="32" t="n"/>
      <c r="I300" s="32" t="n"/>
      <c r="J300" s="32" t="n"/>
    </row>
    <row r="301" ht="15" customHeight="1" s="21">
      <c r="A301" s="32" t="n"/>
      <c r="B301" s="32" t="n"/>
      <c r="C301" s="32" t="n"/>
      <c r="D301" s="32" t="n"/>
      <c r="E301" s="32" t="n"/>
      <c r="F301" s="32" t="n"/>
      <c r="G301" s="32" t="n"/>
      <c r="H301" s="32" t="n"/>
      <c r="I301" s="32" t="n"/>
      <c r="J301" s="32" t="n"/>
    </row>
    <row r="302" ht="15" customHeight="1" s="21">
      <c r="A302" s="32" t="n"/>
      <c r="B302" s="32" t="n"/>
      <c r="C302" s="32" t="n"/>
      <c r="D302" s="32" t="n"/>
      <c r="E302" s="32" t="n"/>
      <c r="F302" s="32" t="n"/>
      <c r="G302" s="32" t="n"/>
      <c r="H302" s="32" t="n"/>
      <c r="I302" s="32" t="n"/>
      <c r="J302" s="32" t="n"/>
    </row>
    <row r="303" ht="15" customHeight="1" s="21">
      <c r="A303" s="32" t="n"/>
      <c r="B303" s="32" t="n"/>
      <c r="C303" s="32" t="n"/>
      <c r="D303" s="32" t="n"/>
      <c r="E303" s="32" t="n"/>
      <c r="F303" s="32" t="n"/>
      <c r="G303" s="32" t="n"/>
      <c r="H303" s="32" t="n"/>
      <c r="I303" s="32" t="n"/>
      <c r="J303" s="32" t="n"/>
    </row>
    <row r="304" ht="15" customHeight="1" s="21">
      <c r="A304" s="32" t="n"/>
      <c r="B304" s="32" t="n"/>
      <c r="C304" s="32" t="n"/>
      <c r="D304" s="32" t="n"/>
      <c r="E304" s="32" t="n"/>
      <c r="F304" s="32" t="n"/>
      <c r="G304" s="32" t="n"/>
      <c r="H304" s="32" t="n"/>
      <c r="I304" s="32" t="n"/>
      <c r="J304" s="32" t="n"/>
    </row>
    <row r="305" ht="15" customHeight="1" s="21">
      <c r="A305" s="32" t="n"/>
      <c r="B305" s="32" t="n"/>
      <c r="C305" s="32" t="n"/>
      <c r="D305" s="32" t="n"/>
      <c r="E305" s="32" t="n"/>
      <c r="F305" s="32" t="n"/>
      <c r="G305" s="32" t="n"/>
      <c r="H305" s="32" t="n"/>
      <c r="I305" s="32" t="n"/>
      <c r="J305" s="32" t="n"/>
    </row>
    <row r="306" ht="15" customHeight="1" s="21">
      <c r="A306" s="32" t="n"/>
      <c r="B306" s="32" t="n"/>
      <c r="C306" s="32" t="n"/>
      <c r="D306" s="32" t="n"/>
      <c r="E306" s="32" t="n"/>
      <c r="F306" s="32" t="n"/>
      <c r="G306" s="32" t="n"/>
      <c r="H306" s="32" t="n"/>
      <c r="I306" s="32" t="n"/>
      <c r="J306" s="32" t="n"/>
    </row>
    <row r="307" ht="15" customHeight="1" s="21">
      <c r="A307" s="32" t="n"/>
      <c r="B307" s="32" t="n"/>
      <c r="C307" s="32" t="n"/>
      <c r="D307" s="32" t="n"/>
      <c r="E307" s="32" t="n"/>
      <c r="F307" s="32" t="n"/>
      <c r="G307" s="32" t="n"/>
      <c r="H307" s="32" t="n"/>
      <c r="I307" s="32" t="n"/>
      <c r="J307" s="32" t="n"/>
    </row>
    <row r="308" ht="15" customHeight="1" s="21">
      <c r="A308" s="32" t="n"/>
      <c r="B308" s="32" t="n"/>
      <c r="C308" s="32" t="n"/>
      <c r="D308" s="32" t="n"/>
      <c r="E308" s="32" t="n"/>
      <c r="F308" s="32" t="n"/>
      <c r="G308" s="32" t="n"/>
      <c r="H308" s="32" t="n"/>
      <c r="I308" s="32" t="n"/>
      <c r="J308" s="32" t="n"/>
    </row>
    <row r="309" ht="15" customHeight="1" s="21">
      <c r="A309" s="32" t="n"/>
      <c r="B309" s="32" t="n"/>
      <c r="C309" s="32" t="n"/>
      <c r="D309" s="32" t="n"/>
      <c r="E309" s="32" t="n"/>
      <c r="F309" s="32" t="n"/>
      <c r="G309" s="32" t="n"/>
      <c r="H309" s="32" t="n"/>
      <c r="I309" s="32" t="n"/>
      <c r="J309" s="32" t="n"/>
    </row>
    <row r="310" ht="15" customHeight="1" s="21">
      <c r="A310" s="32" t="n"/>
      <c r="B310" s="32" t="n"/>
      <c r="C310" s="32" t="n"/>
      <c r="D310" s="32" t="n"/>
      <c r="E310" s="32" t="n"/>
      <c r="F310" s="32" t="n"/>
      <c r="G310" s="32" t="n"/>
      <c r="H310" s="32" t="n"/>
      <c r="I310" s="32" t="n"/>
      <c r="J310" s="32" t="n"/>
    </row>
    <row r="311" ht="15" customHeight="1" s="21">
      <c r="A311" s="32" t="n"/>
      <c r="B311" s="32" t="n"/>
      <c r="C311" s="32" t="n"/>
      <c r="D311" s="32" t="n"/>
      <c r="E311" s="32" t="n"/>
      <c r="F311" s="32" t="n"/>
      <c r="G311" s="32" t="n"/>
      <c r="H311" s="32" t="n"/>
      <c r="I311" s="32" t="n"/>
      <c r="J311" s="32" t="n"/>
    </row>
    <row r="312" ht="15" customHeight="1" s="21">
      <c r="A312" s="32" t="n"/>
      <c r="B312" s="32" t="n"/>
      <c r="C312" s="32" t="n"/>
      <c r="D312" s="32" t="n"/>
      <c r="E312" s="32" t="n"/>
      <c r="F312" s="32" t="n"/>
      <c r="G312" s="32" t="n"/>
      <c r="H312" s="32" t="n"/>
      <c r="I312" s="32" t="n"/>
      <c r="J312" s="32" t="n"/>
    </row>
    <row r="313" ht="15" customHeight="1" s="21">
      <c r="A313" s="32" t="n"/>
      <c r="B313" s="32" t="n"/>
      <c r="C313" s="32" t="n"/>
      <c r="D313" s="32" t="n"/>
      <c r="E313" s="32" t="n"/>
      <c r="F313" s="32" t="n"/>
      <c r="G313" s="32" t="n"/>
      <c r="H313" s="32" t="n"/>
      <c r="I313" s="32" t="n"/>
      <c r="J313" s="32" t="n"/>
    </row>
    <row r="314" ht="15" customHeight="1" s="21">
      <c r="A314" s="32" t="n"/>
      <c r="B314" s="32" t="n"/>
      <c r="C314" s="32" t="n"/>
      <c r="D314" s="32" t="n"/>
      <c r="E314" s="32" t="n"/>
      <c r="F314" s="32" t="n"/>
      <c r="G314" s="32" t="n"/>
      <c r="H314" s="32" t="n"/>
      <c r="I314" s="32" t="n"/>
      <c r="J314" s="32" t="n"/>
    </row>
    <row r="315" ht="15" customHeight="1" s="21">
      <c r="A315" s="32" t="n"/>
      <c r="B315" s="32" t="n"/>
      <c r="C315" s="32" t="n"/>
      <c r="D315" s="32" t="n"/>
      <c r="E315" s="32" t="n"/>
      <c r="F315" s="32" t="n"/>
      <c r="G315" s="32" t="n"/>
      <c r="H315" s="32" t="n"/>
      <c r="I315" s="32" t="n"/>
      <c r="J315" s="32" t="n"/>
    </row>
    <row r="316" ht="15" customHeight="1" s="21">
      <c r="A316" s="32" t="n"/>
      <c r="B316" s="32" t="n"/>
      <c r="C316" s="32" t="n"/>
      <c r="D316" s="32" t="n"/>
      <c r="E316" s="32" t="n"/>
      <c r="F316" s="32" t="n"/>
      <c r="G316" s="32" t="n"/>
      <c r="H316" s="32" t="n"/>
      <c r="I316" s="32" t="n"/>
      <c r="J316" s="32" t="n"/>
    </row>
    <row r="317" ht="15" customHeight="1" s="21">
      <c r="A317" s="32" t="n"/>
      <c r="B317" s="32" t="n"/>
      <c r="C317" s="32" t="n"/>
      <c r="D317" s="32" t="n"/>
      <c r="E317" s="32" t="n"/>
      <c r="F317" s="32" t="n"/>
      <c r="G317" s="32" t="n"/>
      <c r="H317" s="32" t="n"/>
      <c r="I317" s="32" t="n"/>
      <c r="J317" s="32" t="n"/>
    </row>
    <row r="318" ht="15" customHeight="1" s="21">
      <c r="A318" s="32" t="n"/>
      <c r="B318" s="32" t="n"/>
      <c r="C318" s="32" t="n"/>
      <c r="D318" s="32" t="n"/>
      <c r="E318" s="32" t="n"/>
      <c r="F318" s="32" t="n"/>
      <c r="G318" s="32" t="n"/>
      <c r="H318" s="32" t="n"/>
      <c r="I318" s="32" t="n"/>
      <c r="J318" s="32" t="n"/>
    </row>
    <row r="319" ht="15" customHeight="1" s="21">
      <c r="A319" s="32" t="n"/>
      <c r="B319" s="32" t="n"/>
      <c r="C319" s="32" t="n"/>
      <c r="D319" s="32" t="n"/>
      <c r="E319" s="32" t="n"/>
      <c r="F319" s="32" t="n"/>
      <c r="G319" s="32" t="n"/>
      <c r="H319" s="32" t="n"/>
      <c r="I319" s="32" t="n"/>
      <c r="J319" s="32" t="n"/>
    </row>
    <row r="320" ht="15" customHeight="1" s="21">
      <c r="A320" s="32" t="n"/>
      <c r="B320" s="32" t="n"/>
      <c r="C320" s="32" t="n"/>
      <c r="D320" s="32" t="n"/>
      <c r="E320" s="32" t="n"/>
      <c r="F320" s="32" t="n"/>
      <c r="G320" s="32" t="n"/>
      <c r="H320" s="32" t="n"/>
      <c r="I320" s="32" t="n"/>
      <c r="J320" s="32" t="n"/>
    </row>
    <row r="321" ht="15" customHeight="1" s="21">
      <c r="A321" s="32" t="n"/>
      <c r="B321" s="32" t="n"/>
      <c r="C321" s="32" t="n"/>
      <c r="D321" s="32" t="n"/>
      <c r="E321" s="32" t="n"/>
      <c r="F321" s="32" t="n"/>
      <c r="G321" s="32" t="n"/>
      <c r="H321" s="32" t="n"/>
      <c r="I321" s="32" t="n"/>
      <c r="J321" s="32" t="n"/>
    </row>
    <row r="322" ht="15" customHeight="1" s="21">
      <c r="A322" s="32" t="n"/>
      <c r="B322" s="32" t="n"/>
      <c r="C322" s="32" t="n"/>
      <c r="D322" s="32" t="n"/>
      <c r="E322" s="32" t="n"/>
      <c r="F322" s="32" t="n"/>
      <c r="G322" s="32" t="n"/>
      <c r="H322" s="32" t="n"/>
      <c r="I322" s="32" t="n"/>
      <c r="J322" s="32" t="n"/>
    </row>
    <row r="323" ht="15" customHeight="1" s="21">
      <c r="A323" s="32" t="n"/>
      <c r="B323" s="32" t="n"/>
      <c r="C323" s="32" t="n"/>
      <c r="D323" s="32" t="n"/>
      <c r="E323" s="32" t="n"/>
      <c r="F323" s="32" t="n"/>
      <c r="G323" s="32" t="n"/>
      <c r="H323" s="32" t="n"/>
      <c r="I323" s="32" t="n"/>
      <c r="J323" s="32" t="n"/>
    </row>
    <row r="324" ht="15" customHeight="1" s="21">
      <c r="A324" s="32" t="n"/>
      <c r="B324" s="32" t="n"/>
      <c r="C324" s="32" t="n"/>
      <c r="D324" s="32" t="n"/>
      <c r="E324" s="32" t="n"/>
      <c r="F324" s="32" t="n"/>
      <c r="G324" s="32" t="n"/>
      <c r="H324" s="32" t="n"/>
      <c r="I324" s="32" t="n"/>
      <c r="J324" s="32" t="n"/>
    </row>
    <row r="325" ht="15" customHeight="1" s="21">
      <c r="A325" s="32" t="n"/>
      <c r="B325" s="32" t="n"/>
      <c r="C325" s="32" t="n"/>
      <c r="D325" s="32" t="n"/>
      <c r="E325" s="32" t="n"/>
      <c r="F325" s="32" t="n"/>
      <c r="G325" s="32" t="n"/>
      <c r="H325" s="32" t="n"/>
      <c r="I325" s="32" t="n"/>
      <c r="J325" s="32" t="n"/>
    </row>
    <row r="326" ht="15" customHeight="1" s="21">
      <c r="A326" s="32" t="n"/>
      <c r="B326" s="32" t="n"/>
      <c r="C326" s="32" t="n"/>
      <c r="D326" s="32" t="n"/>
      <c r="E326" s="32" t="n"/>
      <c r="F326" s="32" t="n"/>
      <c r="G326" s="32" t="n"/>
      <c r="H326" s="32" t="n"/>
      <c r="I326" s="32" t="n"/>
      <c r="J326" s="32" t="n"/>
    </row>
    <row r="327" ht="15" customHeight="1" s="21">
      <c r="A327" s="32" t="n"/>
      <c r="B327" s="32" t="n"/>
      <c r="C327" s="32" t="n"/>
      <c r="D327" s="32" t="n"/>
      <c r="E327" s="32" t="n"/>
      <c r="F327" s="32" t="n"/>
      <c r="G327" s="32" t="n"/>
      <c r="H327" s="32" t="n"/>
      <c r="I327" s="32" t="n"/>
      <c r="J327" s="32" t="n"/>
    </row>
    <row r="328" ht="15" customHeight="1" s="21">
      <c r="A328" s="32" t="n"/>
      <c r="B328" s="32" t="n"/>
      <c r="C328" s="32" t="n"/>
      <c r="D328" s="32" t="n"/>
      <c r="E328" s="32" t="n"/>
      <c r="F328" s="32" t="n"/>
      <c r="G328" s="32" t="n"/>
      <c r="H328" s="32" t="n"/>
      <c r="I328" s="32" t="n"/>
      <c r="J328" s="32" t="n"/>
    </row>
    <row r="329" ht="15" customHeight="1" s="21">
      <c r="A329" s="32" t="n"/>
      <c r="B329" s="32" t="n"/>
      <c r="C329" s="32" t="n"/>
      <c r="D329" s="32" t="n"/>
      <c r="E329" s="32" t="n"/>
      <c r="F329" s="32" t="n"/>
      <c r="G329" s="32" t="n"/>
      <c r="H329" s="32" t="n"/>
      <c r="I329" s="32" t="n"/>
      <c r="J329" s="32" t="n"/>
    </row>
    <row r="330" ht="15" customHeight="1" s="21">
      <c r="A330" s="32" t="n"/>
      <c r="B330" s="32" t="n"/>
      <c r="C330" s="32" t="n"/>
      <c r="D330" s="32" t="n"/>
      <c r="E330" s="32" t="n"/>
      <c r="F330" s="32" t="n"/>
      <c r="G330" s="32" t="n"/>
      <c r="H330" s="32" t="n"/>
      <c r="I330" s="32" t="n"/>
      <c r="J330" s="32" t="n"/>
    </row>
    <row r="331" ht="15" customHeight="1" s="21">
      <c r="A331" s="32" t="n"/>
      <c r="B331" s="32" t="n"/>
      <c r="C331" s="32" t="n"/>
      <c r="D331" s="32" t="n"/>
      <c r="E331" s="32" t="n"/>
      <c r="F331" s="32" t="n"/>
      <c r="G331" s="32" t="n"/>
      <c r="H331" s="32" t="n"/>
      <c r="I331" s="32" t="n"/>
      <c r="J331" s="32" t="n"/>
    </row>
    <row r="332" ht="15" customHeight="1" s="21">
      <c r="A332" s="32" t="n"/>
      <c r="B332" s="32" t="n"/>
      <c r="C332" s="32" t="n"/>
      <c r="D332" s="32" t="n"/>
      <c r="E332" s="32" t="n"/>
      <c r="F332" s="32" t="n"/>
      <c r="G332" s="32" t="n"/>
      <c r="H332" s="32" t="n"/>
      <c r="I332" s="32" t="n"/>
      <c r="J332" s="32" t="n"/>
    </row>
    <row r="333" ht="15" customHeight="1" s="21">
      <c r="A333" s="32" t="n"/>
      <c r="B333" s="32" t="n"/>
      <c r="C333" s="32" t="n"/>
      <c r="D333" s="32" t="n"/>
      <c r="E333" s="32" t="n"/>
      <c r="F333" s="32" t="n"/>
      <c r="G333" s="32" t="n"/>
      <c r="H333" s="32" t="n"/>
      <c r="I333" s="32" t="n"/>
      <c r="J333" s="32" t="n"/>
    </row>
    <row r="334" ht="15" customHeight="1" s="21">
      <c r="A334" s="32" t="n"/>
      <c r="B334" s="32" t="n"/>
      <c r="C334" s="32" t="n"/>
      <c r="D334" s="32" t="n"/>
      <c r="E334" s="32" t="n"/>
      <c r="F334" s="32" t="n"/>
      <c r="G334" s="32" t="n"/>
      <c r="H334" s="32" t="n"/>
      <c r="I334" s="32" t="n"/>
      <c r="J334" s="32" t="n"/>
    </row>
    <row r="335" ht="15" customHeight="1" s="21">
      <c r="A335" s="32" t="n"/>
      <c r="B335" s="32" t="n"/>
      <c r="C335" s="32" t="n"/>
      <c r="D335" s="32" t="n"/>
      <c r="E335" s="32" t="n"/>
      <c r="F335" s="32" t="n"/>
      <c r="G335" s="32" t="n"/>
      <c r="H335" s="32" t="n"/>
      <c r="I335" s="32" t="n"/>
      <c r="J335" s="32" t="n"/>
    </row>
    <row r="336" ht="15" customHeight="1" s="21">
      <c r="A336" s="32" t="n"/>
      <c r="B336" s="32" t="n"/>
      <c r="C336" s="32" t="n"/>
      <c r="D336" s="32" t="n"/>
      <c r="E336" s="32" t="n"/>
      <c r="F336" s="32" t="n"/>
      <c r="G336" s="32" t="n"/>
      <c r="H336" s="32" t="n"/>
      <c r="I336" s="32" t="n"/>
      <c r="J336" s="32" t="n"/>
    </row>
    <row r="337" ht="15" customHeight="1" s="21">
      <c r="A337" s="32" t="n"/>
      <c r="B337" s="32" t="n"/>
      <c r="C337" s="32" t="n"/>
      <c r="D337" s="32" t="n"/>
      <c r="E337" s="32" t="n"/>
      <c r="F337" s="32" t="n"/>
      <c r="G337" s="32" t="n"/>
      <c r="H337" s="32" t="n"/>
      <c r="I337" s="32" t="n"/>
      <c r="J337" s="32" t="n"/>
    </row>
    <row r="338" ht="15" customHeight="1" s="21">
      <c r="A338" s="32" t="n"/>
      <c r="B338" s="32" t="n"/>
      <c r="C338" s="32" t="n"/>
      <c r="D338" s="32" t="n"/>
      <c r="E338" s="32" t="n"/>
      <c r="F338" s="32" t="n"/>
      <c r="G338" s="32" t="n"/>
      <c r="H338" s="32" t="n"/>
      <c r="I338" s="32" t="n"/>
      <c r="J338" s="32" t="n"/>
    </row>
    <row r="339" ht="15" customHeight="1" s="21">
      <c r="A339" s="32" t="n"/>
      <c r="B339" s="32" t="n"/>
      <c r="C339" s="32" t="n"/>
      <c r="D339" s="32" t="n"/>
      <c r="E339" s="32" t="n"/>
      <c r="F339" s="32" t="n"/>
      <c r="G339" s="32" t="n"/>
      <c r="H339" s="32" t="n"/>
      <c r="I339" s="32" t="n"/>
      <c r="J339" s="32" t="n"/>
    </row>
    <row r="340" ht="15" customHeight="1" s="21">
      <c r="A340" s="32" t="n"/>
      <c r="B340" s="32" t="n"/>
      <c r="C340" s="32" t="n"/>
      <c r="D340" s="32" t="n"/>
      <c r="E340" s="32" t="n"/>
      <c r="F340" s="32" t="n"/>
      <c r="G340" s="32" t="n"/>
      <c r="H340" s="32" t="n"/>
      <c r="I340" s="32" t="n"/>
      <c r="J340" s="32" t="n"/>
    </row>
    <row r="341" ht="15" customHeight="1" s="21">
      <c r="A341" s="32" t="n"/>
      <c r="B341" s="32" t="n"/>
      <c r="C341" s="32" t="n"/>
      <c r="D341" s="32" t="n"/>
      <c r="E341" s="32" t="n"/>
      <c r="F341" s="32" t="n"/>
      <c r="G341" s="32" t="n"/>
      <c r="H341" s="32" t="n"/>
      <c r="I341" s="32" t="n"/>
      <c r="J341" s="32" t="n"/>
    </row>
    <row r="342" ht="15" customHeight="1" s="21">
      <c r="A342" s="32" t="n"/>
      <c r="B342" s="32" t="n"/>
      <c r="C342" s="32" t="n"/>
      <c r="D342" s="32" t="n"/>
      <c r="E342" s="32" t="n"/>
      <c r="F342" s="32" t="n"/>
      <c r="G342" s="32" t="n"/>
      <c r="H342" s="32" t="n"/>
      <c r="I342" s="32" t="n"/>
      <c r="J342" s="32" t="n"/>
    </row>
    <row r="343" ht="15" customHeight="1" s="21">
      <c r="A343" s="32" t="n"/>
      <c r="B343" s="32" t="n"/>
      <c r="C343" s="32" t="n"/>
      <c r="D343" s="32" t="n"/>
      <c r="E343" s="32" t="n"/>
      <c r="F343" s="32" t="n"/>
      <c r="G343" s="32" t="n"/>
      <c r="H343" s="32" t="n"/>
      <c r="I343" s="32" t="n"/>
      <c r="J343" s="32" t="n"/>
    </row>
    <row r="344" ht="15" customHeight="1" s="21">
      <c r="A344" s="32" t="n"/>
      <c r="B344" s="32" t="n"/>
      <c r="C344" s="32" t="n"/>
      <c r="D344" s="32" t="n"/>
      <c r="E344" s="32" t="n"/>
      <c r="F344" s="32" t="n"/>
      <c r="G344" s="32" t="n"/>
      <c r="H344" s="32" t="n"/>
      <c r="I344" s="32" t="n"/>
      <c r="J344" s="32" t="n"/>
    </row>
    <row r="345" ht="15" customHeight="1" s="21">
      <c r="A345" s="32" t="n"/>
      <c r="B345" s="32" t="n"/>
      <c r="C345" s="32" t="n"/>
      <c r="D345" s="32" t="n"/>
      <c r="E345" s="32" t="n"/>
      <c r="F345" s="32" t="n"/>
      <c r="G345" s="32" t="n"/>
      <c r="H345" s="32" t="n"/>
      <c r="I345" s="32" t="n"/>
      <c r="J345" s="32" t="n"/>
    </row>
    <row r="346" ht="15" customHeight="1" s="21">
      <c r="A346" s="32" t="n"/>
      <c r="B346" s="32" t="n"/>
      <c r="C346" s="32" t="n"/>
      <c r="D346" s="32" t="n"/>
      <c r="E346" s="32" t="n"/>
      <c r="F346" s="32" t="n"/>
      <c r="G346" s="32" t="n"/>
      <c r="H346" s="32" t="n"/>
      <c r="I346" s="32" t="n"/>
      <c r="J346" s="32" t="n"/>
    </row>
    <row r="347" ht="15" customHeight="1" s="21">
      <c r="A347" s="32" t="n"/>
      <c r="B347" s="32" t="n"/>
      <c r="C347" s="32" t="n"/>
      <c r="D347" s="32" t="n"/>
      <c r="E347" s="32" t="n"/>
      <c r="F347" s="32" t="n"/>
      <c r="G347" s="32" t="n"/>
      <c r="H347" s="32" t="n"/>
      <c r="I347" s="32" t="n"/>
      <c r="J347" s="32" t="n"/>
    </row>
    <row r="348" ht="15" customHeight="1" s="21">
      <c r="A348" s="32" t="n"/>
      <c r="B348" s="32" t="n"/>
      <c r="C348" s="32" t="n"/>
      <c r="D348" s="32" t="n"/>
      <c r="E348" s="32" t="n"/>
      <c r="F348" s="32" t="n"/>
      <c r="G348" s="32" t="n"/>
      <c r="H348" s="32" t="n"/>
      <c r="I348" s="32" t="n"/>
      <c r="J348" s="32" t="n"/>
    </row>
    <row r="349" ht="15" customHeight="1" s="21">
      <c r="A349" s="32" t="n"/>
      <c r="B349" s="32" t="n"/>
      <c r="C349" s="32" t="n"/>
      <c r="D349" s="32" t="n"/>
      <c r="E349" s="32" t="n"/>
      <c r="F349" s="32" t="n"/>
      <c r="G349" s="32" t="n"/>
      <c r="H349" s="32" t="n"/>
      <c r="I349" s="32" t="n"/>
      <c r="J349" s="32" t="n"/>
    </row>
    <row r="350" ht="15" customHeight="1" s="21">
      <c r="A350" s="32" t="n"/>
      <c r="B350" s="32" t="n"/>
      <c r="C350" s="32" t="n"/>
      <c r="D350" s="32" t="n"/>
      <c r="E350" s="32" t="n"/>
      <c r="F350" s="32" t="n"/>
      <c r="G350" s="32" t="n"/>
      <c r="H350" s="32" t="n"/>
      <c r="I350" s="32" t="n"/>
      <c r="J350" s="32" t="n"/>
    </row>
    <row r="351" ht="15" customHeight="1" s="21">
      <c r="A351" s="32" t="n"/>
      <c r="B351" s="32" t="n"/>
      <c r="C351" s="32" t="n"/>
      <c r="D351" s="32" t="n"/>
      <c r="E351" s="32" t="n"/>
      <c r="F351" s="32" t="n"/>
      <c r="G351" s="32" t="n"/>
      <c r="H351" s="32" t="n"/>
      <c r="I351" s="32" t="n"/>
      <c r="J351" s="32" t="n"/>
    </row>
    <row r="352" ht="15" customHeight="1" s="21">
      <c r="A352" s="32" t="n"/>
      <c r="B352" s="32" t="n"/>
      <c r="C352" s="32" t="n"/>
      <c r="D352" s="32" t="n"/>
      <c r="E352" s="32" t="n"/>
      <c r="F352" s="32" t="n"/>
      <c r="G352" s="32" t="n"/>
      <c r="H352" s="32" t="n"/>
      <c r="I352" s="32" t="n"/>
      <c r="J352" s="32" t="n"/>
    </row>
    <row r="353" ht="15" customHeight="1" s="21">
      <c r="A353" s="32" t="n"/>
      <c r="B353" s="32" t="n"/>
      <c r="C353" s="32" t="n"/>
      <c r="D353" s="32" t="n"/>
      <c r="E353" s="32" t="n"/>
      <c r="F353" s="32" t="n"/>
      <c r="G353" s="32" t="n"/>
      <c r="H353" s="32" t="n"/>
      <c r="I353" s="32" t="n"/>
      <c r="J353" s="32" t="n"/>
    </row>
    <row r="354" ht="15" customHeight="1" s="21">
      <c r="A354" s="32" t="n"/>
      <c r="B354" s="32" t="n"/>
      <c r="C354" s="32" t="n"/>
      <c r="D354" s="32" t="n"/>
      <c r="E354" s="32" t="n"/>
      <c r="F354" s="32" t="n"/>
      <c r="G354" s="32" t="n"/>
      <c r="H354" s="32" t="n"/>
      <c r="I354" s="32" t="n"/>
      <c r="J354" s="32" t="n"/>
    </row>
    <row r="355" ht="15" customHeight="1" s="21">
      <c r="A355" s="32" t="n"/>
      <c r="B355" s="32" t="n"/>
      <c r="C355" s="32" t="n"/>
      <c r="D355" s="32" t="n"/>
      <c r="E355" s="32" t="n"/>
      <c r="F355" s="32" t="n"/>
      <c r="G355" s="32" t="n"/>
      <c r="H355" s="32" t="n"/>
      <c r="I355" s="32" t="n"/>
      <c r="J355" s="32" t="n"/>
    </row>
    <row r="356" ht="15" customHeight="1" s="21">
      <c r="A356" s="32" t="n"/>
      <c r="B356" s="32" t="n"/>
      <c r="C356" s="32" t="n"/>
      <c r="D356" s="32" t="n"/>
      <c r="E356" s="32" t="n"/>
      <c r="F356" s="32" t="n"/>
      <c r="G356" s="32" t="n"/>
      <c r="H356" s="32" t="n"/>
      <c r="I356" s="32" t="n"/>
      <c r="J356" s="32" t="n"/>
    </row>
    <row r="357" ht="15" customHeight="1" s="21">
      <c r="A357" s="32" t="n"/>
      <c r="B357" s="32" t="n"/>
      <c r="C357" s="32" t="n"/>
      <c r="D357" s="32" t="n"/>
      <c r="E357" s="32" t="n"/>
      <c r="F357" s="32" t="n"/>
      <c r="G357" s="32" t="n"/>
      <c r="H357" s="32" t="n"/>
      <c r="I357" s="32" t="n"/>
      <c r="J357" s="32" t="n"/>
    </row>
    <row r="358" ht="15" customHeight="1" s="21">
      <c r="A358" s="32" t="n"/>
      <c r="B358" s="32" t="n"/>
      <c r="C358" s="32" t="n"/>
      <c r="D358" s="32" t="n"/>
      <c r="E358" s="32" t="n"/>
      <c r="F358" s="32" t="n"/>
      <c r="G358" s="32" t="n"/>
      <c r="H358" s="32" t="n"/>
      <c r="I358" s="32" t="n"/>
      <c r="J358" s="32" t="n"/>
    </row>
    <row r="359" ht="15" customHeight="1" s="21">
      <c r="A359" s="32" t="n"/>
      <c r="B359" s="32" t="n"/>
      <c r="C359" s="32" t="n"/>
      <c r="D359" s="32" t="n"/>
      <c r="E359" s="32" t="n"/>
      <c r="F359" s="32" t="n"/>
      <c r="G359" s="32" t="n"/>
      <c r="H359" s="32" t="n"/>
      <c r="I359" s="32" t="n"/>
      <c r="J359" s="32" t="n"/>
    </row>
    <row r="360" ht="15" customHeight="1" s="21">
      <c r="A360" s="32" t="n"/>
      <c r="B360" s="32" t="n"/>
      <c r="C360" s="32" t="n"/>
      <c r="D360" s="32" t="n"/>
      <c r="E360" s="32" t="n"/>
      <c r="F360" s="32" t="n"/>
      <c r="G360" s="32" t="n"/>
      <c r="H360" s="32" t="n"/>
      <c r="I360" s="32" t="n"/>
      <c r="J360" s="32" t="n"/>
    </row>
    <row r="361" ht="15" customHeight="1" s="21">
      <c r="A361" s="32" t="n"/>
      <c r="B361" s="32" t="n"/>
      <c r="C361" s="32" t="n"/>
      <c r="D361" s="32" t="n"/>
      <c r="E361" s="32" t="n"/>
      <c r="F361" s="32" t="n"/>
      <c r="G361" s="32" t="n"/>
      <c r="H361" s="32" t="n"/>
      <c r="I361" s="32" t="n"/>
      <c r="J361" s="32" t="n"/>
    </row>
    <row r="362" ht="15" customHeight="1" s="21">
      <c r="A362" s="32" t="n"/>
      <c r="B362" s="32" t="n"/>
      <c r="C362" s="32" t="n"/>
      <c r="D362" s="32" t="n"/>
      <c r="E362" s="32" t="n"/>
      <c r="F362" s="32" t="n"/>
      <c r="G362" s="32" t="n"/>
      <c r="H362" s="32" t="n"/>
      <c r="I362" s="32" t="n"/>
      <c r="J362" s="32" t="n"/>
    </row>
    <row r="363" ht="15" customHeight="1" s="21">
      <c r="A363" s="32" t="n"/>
      <c r="B363" s="32" t="n"/>
      <c r="C363" s="32" t="n"/>
      <c r="D363" s="32" t="n"/>
      <c r="E363" s="32" t="n"/>
      <c r="F363" s="32" t="n"/>
      <c r="G363" s="32" t="n"/>
      <c r="H363" s="32" t="n"/>
      <c r="I363" s="32" t="n"/>
      <c r="J363" s="32" t="n"/>
    </row>
    <row r="364" ht="15" customHeight="1" s="21">
      <c r="A364" s="32" t="n"/>
      <c r="B364" s="32" t="n"/>
      <c r="C364" s="32" t="n"/>
      <c r="D364" s="32" t="n"/>
      <c r="E364" s="32" t="n"/>
      <c r="F364" s="32" t="n"/>
      <c r="G364" s="32" t="n"/>
      <c r="H364" s="32" t="n"/>
      <c r="I364" s="32" t="n"/>
      <c r="J364" s="32" t="n"/>
    </row>
    <row r="365" ht="15" customHeight="1" s="21">
      <c r="A365" s="32" t="n"/>
      <c r="B365" s="32" t="n"/>
      <c r="C365" s="32" t="n"/>
      <c r="D365" s="32" t="n"/>
      <c r="E365" s="32" t="n"/>
      <c r="F365" s="32" t="n"/>
      <c r="G365" s="32" t="n"/>
      <c r="H365" s="32" t="n"/>
      <c r="I365" s="32" t="n"/>
      <c r="J365" s="32" t="n"/>
    </row>
    <row r="366" ht="15" customHeight="1" s="21">
      <c r="A366" s="32" t="n"/>
      <c r="B366" s="32" t="n"/>
      <c r="C366" s="32" t="n"/>
      <c r="D366" s="32" t="n"/>
      <c r="E366" s="32" t="n"/>
      <c r="F366" s="32" t="n"/>
      <c r="G366" s="32" t="n"/>
      <c r="H366" s="32" t="n"/>
      <c r="I366" s="32" t="n"/>
      <c r="J366" s="32" t="n"/>
    </row>
    <row r="367" ht="15" customHeight="1" s="21">
      <c r="A367" s="32" t="n"/>
      <c r="B367" s="32" t="n"/>
      <c r="C367" s="32" t="n"/>
      <c r="D367" s="32" t="n"/>
      <c r="E367" s="32" t="n"/>
      <c r="F367" s="32" t="n"/>
      <c r="G367" s="32" t="n"/>
      <c r="H367" s="32" t="n"/>
      <c r="I367" s="32" t="n"/>
      <c r="J367" s="32" t="n"/>
    </row>
    <row r="368" ht="15" customHeight="1" s="21">
      <c r="A368" s="32" t="n"/>
      <c r="B368" s="32" t="n"/>
      <c r="C368" s="32" t="n"/>
      <c r="D368" s="32" t="n"/>
      <c r="E368" s="32" t="n"/>
      <c r="F368" s="32" t="n"/>
      <c r="G368" s="32" t="n"/>
      <c r="H368" s="32" t="n"/>
      <c r="I368" s="32" t="n"/>
      <c r="J368" s="32" t="n"/>
    </row>
    <row r="369" ht="15" customHeight="1" s="21">
      <c r="A369" s="32" t="n"/>
      <c r="B369" s="32" t="n"/>
      <c r="C369" s="32" t="n"/>
      <c r="D369" s="32" t="n"/>
      <c r="E369" s="32" t="n"/>
      <c r="F369" s="32" t="n"/>
      <c r="G369" s="32" t="n"/>
      <c r="H369" s="32" t="n"/>
      <c r="I369" s="32" t="n"/>
      <c r="J369" s="32" t="n"/>
    </row>
    <row r="370" ht="15" customHeight="1" s="21">
      <c r="A370" s="32" t="n"/>
      <c r="B370" s="32" t="n"/>
      <c r="C370" s="32" t="n"/>
      <c r="D370" s="32" t="n"/>
      <c r="E370" s="32" t="n"/>
      <c r="F370" s="32" t="n"/>
      <c r="G370" s="32" t="n"/>
      <c r="H370" s="32" t="n"/>
      <c r="I370" s="32" t="n"/>
      <c r="J370" s="32" t="n"/>
    </row>
    <row r="371" ht="15" customHeight="1" s="21">
      <c r="A371" s="32" t="n"/>
      <c r="B371" s="32" t="n"/>
      <c r="C371" s="32" t="n"/>
      <c r="D371" s="32" t="n"/>
      <c r="E371" s="32" t="n"/>
      <c r="F371" s="32" t="n"/>
      <c r="G371" s="32" t="n"/>
      <c r="H371" s="32" t="n"/>
      <c r="I371" s="32" t="n"/>
      <c r="J371" s="32" t="n"/>
    </row>
    <row r="372" ht="15" customHeight="1" s="21">
      <c r="A372" s="32" t="n"/>
      <c r="B372" s="32" t="n"/>
      <c r="C372" s="32" t="n"/>
      <c r="D372" s="32" t="n"/>
      <c r="E372" s="32" t="n"/>
      <c r="F372" s="32" t="n"/>
      <c r="G372" s="32" t="n"/>
      <c r="H372" s="32" t="n"/>
      <c r="I372" s="32" t="n"/>
      <c r="J372" s="32" t="n"/>
    </row>
    <row r="373" ht="15" customHeight="1" s="21">
      <c r="A373" s="32" t="n"/>
      <c r="B373" s="32" t="n"/>
      <c r="C373" s="32" t="n"/>
      <c r="D373" s="32" t="n"/>
      <c r="E373" s="32" t="n"/>
      <c r="F373" s="32" t="n"/>
      <c r="G373" s="32" t="n"/>
      <c r="H373" s="32" t="n"/>
      <c r="I373" s="32" t="n"/>
      <c r="J373" s="32" t="n"/>
    </row>
    <row r="374" ht="15" customHeight="1" s="21">
      <c r="A374" s="32" t="n"/>
      <c r="B374" s="32" t="n"/>
      <c r="C374" s="32" t="n"/>
      <c r="D374" s="32" t="n"/>
      <c r="E374" s="32" t="n"/>
      <c r="F374" s="32" t="n"/>
      <c r="G374" s="32" t="n"/>
      <c r="H374" s="32" t="n"/>
      <c r="I374" s="32" t="n"/>
      <c r="J374" s="32" t="n"/>
    </row>
    <row r="375" ht="15" customHeight="1" s="21">
      <c r="A375" s="32" t="n"/>
      <c r="B375" s="32" t="n"/>
      <c r="C375" s="32" t="n"/>
      <c r="D375" s="32" t="n"/>
      <c r="E375" s="32" t="n"/>
      <c r="F375" s="32" t="n"/>
      <c r="G375" s="32" t="n"/>
      <c r="H375" s="32" t="n"/>
      <c r="I375" s="32" t="n"/>
      <c r="J375" s="32" t="n"/>
    </row>
    <row r="376" ht="15" customHeight="1" s="21">
      <c r="A376" s="32" t="n"/>
      <c r="B376" s="32" t="n"/>
      <c r="C376" s="32" t="n"/>
      <c r="D376" s="32" t="n"/>
      <c r="E376" s="32" t="n"/>
      <c r="F376" s="32" t="n"/>
      <c r="G376" s="32" t="n"/>
      <c r="H376" s="32" t="n"/>
      <c r="I376" s="32" t="n"/>
      <c r="J376" s="32" t="n"/>
    </row>
    <row r="377" ht="15" customHeight="1" s="21">
      <c r="A377" s="32" t="n"/>
      <c r="B377" s="32" t="n"/>
      <c r="C377" s="32" t="n"/>
      <c r="D377" s="32" t="n"/>
      <c r="E377" s="32" t="n"/>
      <c r="F377" s="32" t="n"/>
      <c r="G377" s="32" t="n"/>
      <c r="H377" s="32" t="n"/>
      <c r="I377" s="32" t="n"/>
      <c r="J377" s="32" t="n"/>
    </row>
    <row r="378" ht="15" customHeight="1" s="21">
      <c r="A378" s="32" t="n"/>
      <c r="B378" s="32" t="n"/>
      <c r="C378" s="32" t="n"/>
      <c r="D378" s="32" t="n"/>
      <c r="E378" s="32" t="n"/>
      <c r="F378" s="32" t="n"/>
      <c r="G378" s="32" t="n"/>
      <c r="H378" s="32" t="n"/>
      <c r="I378" s="32" t="n"/>
      <c r="J378" s="32" t="n"/>
    </row>
    <row r="379" ht="15" customHeight="1" s="21">
      <c r="A379" s="32" t="n"/>
      <c r="B379" s="32" t="n"/>
      <c r="C379" s="32" t="n"/>
      <c r="D379" s="32" t="n"/>
      <c r="E379" s="32" t="n"/>
      <c r="F379" s="32" t="n"/>
      <c r="G379" s="32" t="n"/>
      <c r="H379" s="32" t="n"/>
      <c r="I379" s="32" t="n"/>
      <c r="J379" s="32" t="n"/>
    </row>
    <row r="380" ht="15" customHeight="1" s="21">
      <c r="A380" s="32" t="n"/>
      <c r="B380" s="32" t="n"/>
      <c r="C380" s="32" t="n"/>
      <c r="D380" s="32" t="n"/>
      <c r="E380" s="32" t="n"/>
      <c r="F380" s="32" t="n"/>
      <c r="G380" s="32" t="n"/>
      <c r="H380" s="32" t="n"/>
      <c r="I380" s="32" t="n"/>
      <c r="J380" s="32" t="n"/>
    </row>
    <row r="381" ht="15" customHeight="1" s="21">
      <c r="A381" s="32" t="n"/>
      <c r="B381" s="32" t="n"/>
      <c r="C381" s="32" t="n"/>
      <c r="D381" s="32" t="n"/>
      <c r="E381" s="32" t="n"/>
      <c r="F381" s="32" t="n"/>
      <c r="G381" s="32" t="n"/>
      <c r="H381" s="32" t="n"/>
      <c r="I381" s="32" t="n"/>
      <c r="J381" s="32" t="n"/>
    </row>
    <row r="382" ht="15" customHeight="1" s="21">
      <c r="A382" s="32" t="n"/>
      <c r="B382" s="32" t="n"/>
      <c r="C382" s="32" t="n"/>
      <c r="D382" s="32" t="n"/>
      <c r="E382" s="32" t="n"/>
      <c r="F382" s="32" t="n"/>
      <c r="G382" s="32" t="n"/>
      <c r="H382" s="32" t="n"/>
      <c r="I382" s="32" t="n"/>
      <c r="J382" s="32" t="n"/>
    </row>
    <row r="383" ht="15" customHeight="1" s="21">
      <c r="A383" s="32" t="n"/>
      <c r="B383" s="32" t="n"/>
      <c r="C383" s="32" t="n"/>
      <c r="D383" s="32" t="n"/>
      <c r="E383" s="32" t="n"/>
      <c r="F383" s="32" t="n"/>
      <c r="G383" s="32" t="n"/>
      <c r="H383" s="32" t="n"/>
      <c r="I383" s="32" t="n"/>
      <c r="J383" s="32" t="n"/>
    </row>
    <row r="384" ht="15" customHeight="1" s="21">
      <c r="A384" s="32" t="n"/>
      <c r="B384" s="32" t="n"/>
      <c r="C384" s="32" t="n"/>
      <c r="D384" s="32" t="n"/>
      <c r="E384" s="32" t="n"/>
      <c r="F384" s="32" t="n"/>
      <c r="G384" s="32" t="n"/>
      <c r="H384" s="32" t="n"/>
      <c r="I384" s="32" t="n"/>
      <c r="J384" s="32" t="n"/>
    </row>
    <row r="385" ht="15" customHeight="1" s="21">
      <c r="A385" s="32" t="n"/>
      <c r="B385" s="32" t="n"/>
      <c r="C385" s="32" t="n"/>
      <c r="D385" s="32" t="n"/>
      <c r="E385" s="32" t="n"/>
      <c r="F385" s="32" t="n"/>
      <c r="G385" s="32" t="n"/>
      <c r="H385" s="32" t="n"/>
      <c r="I385" s="32" t="n"/>
      <c r="J385" s="32" t="n"/>
    </row>
    <row r="386" ht="15" customHeight="1" s="21">
      <c r="A386" s="32" t="n"/>
      <c r="B386" s="32" t="n"/>
      <c r="C386" s="32" t="n"/>
      <c r="D386" s="32" t="n"/>
      <c r="E386" s="32" t="n"/>
      <c r="F386" s="32" t="n"/>
      <c r="G386" s="32" t="n"/>
      <c r="H386" s="32" t="n"/>
      <c r="I386" s="32" t="n"/>
      <c r="J386" s="32" t="n"/>
    </row>
    <row r="387" ht="15" customHeight="1" s="21">
      <c r="A387" s="32" t="n"/>
      <c r="B387" s="32" t="n"/>
      <c r="C387" s="32" t="n"/>
      <c r="D387" s="32" t="n"/>
      <c r="E387" s="32" t="n"/>
      <c r="F387" s="32" t="n"/>
      <c r="G387" s="32" t="n"/>
      <c r="H387" s="32" t="n"/>
      <c r="I387" s="32" t="n"/>
      <c r="J387" s="32" t="n"/>
    </row>
    <row r="388" ht="15" customHeight="1" s="21">
      <c r="A388" s="32" t="n"/>
      <c r="B388" s="32" t="n"/>
      <c r="C388" s="32" t="n"/>
      <c r="D388" s="32" t="n"/>
      <c r="E388" s="32" t="n"/>
      <c r="F388" s="32" t="n"/>
      <c r="G388" s="32" t="n"/>
      <c r="H388" s="32" t="n"/>
      <c r="I388" s="32" t="n"/>
      <c r="J388" s="32" t="n"/>
    </row>
    <row r="389" ht="15" customHeight="1" s="21">
      <c r="A389" s="32" t="n"/>
      <c r="B389" s="32" t="n"/>
      <c r="C389" s="32" t="n"/>
      <c r="D389" s="32" t="n"/>
      <c r="E389" s="32" t="n"/>
      <c r="F389" s="32" t="n"/>
      <c r="G389" s="32" t="n"/>
      <c r="H389" s="32" t="n"/>
      <c r="I389" s="32" t="n"/>
      <c r="J389" s="32" t="n"/>
    </row>
    <row r="390" ht="15" customHeight="1" s="21">
      <c r="A390" s="32" t="n"/>
      <c r="B390" s="32" t="n"/>
      <c r="C390" s="32" t="n"/>
      <c r="D390" s="32" t="n"/>
      <c r="E390" s="32" t="n"/>
      <c r="F390" s="32" t="n"/>
      <c r="G390" s="32" t="n"/>
      <c r="H390" s="32" t="n"/>
      <c r="I390" s="32" t="n"/>
      <c r="J390" s="32" t="n"/>
    </row>
    <row r="391" ht="15" customHeight="1" s="21">
      <c r="A391" s="32" t="n"/>
      <c r="B391" s="32" t="n"/>
      <c r="C391" s="32" t="n"/>
      <c r="D391" s="32" t="n"/>
      <c r="E391" s="32" t="n"/>
      <c r="F391" s="32" t="n"/>
      <c r="G391" s="32" t="n"/>
      <c r="H391" s="32" t="n"/>
      <c r="I391" s="32" t="n"/>
      <c r="J391" s="32" t="n"/>
    </row>
    <row r="392" ht="15" customHeight="1" s="21">
      <c r="A392" s="32" t="n"/>
      <c r="B392" s="32" t="n"/>
      <c r="C392" s="32" t="n"/>
      <c r="D392" s="32" t="n"/>
      <c r="E392" s="32" t="n"/>
      <c r="F392" s="32" t="n"/>
      <c r="G392" s="32" t="n"/>
      <c r="H392" s="32" t="n"/>
      <c r="I392" s="32" t="n"/>
      <c r="J392" s="32" t="n"/>
    </row>
    <row r="393" ht="15" customHeight="1" s="21">
      <c r="A393" s="32" t="n"/>
      <c r="B393" s="32" t="n"/>
      <c r="C393" s="32" t="n"/>
      <c r="D393" s="32" t="n"/>
      <c r="E393" s="32" t="n"/>
      <c r="F393" s="32" t="n"/>
      <c r="G393" s="32" t="n"/>
      <c r="H393" s="32" t="n"/>
      <c r="I393" s="32" t="n"/>
      <c r="J393" s="32" t="n"/>
    </row>
    <row r="394" ht="15" customHeight="1" s="21">
      <c r="A394" s="32" t="n"/>
      <c r="B394" s="32" t="n"/>
      <c r="C394" s="32" t="n"/>
      <c r="D394" s="32" t="n"/>
      <c r="E394" s="32" t="n"/>
      <c r="F394" s="32" t="n"/>
      <c r="G394" s="32" t="n"/>
      <c r="H394" s="32" t="n"/>
      <c r="I394" s="32" t="n"/>
      <c r="J394" s="32" t="n"/>
    </row>
    <row r="395" ht="15" customHeight="1" s="21">
      <c r="A395" s="32" t="n"/>
      <c r="B395" s="32" t="n"/>
      <c r="C395" s="32" t="n"/>
      <c r="D395" s="32" t="n"/>
      <c r="E395" s="32" t="n"/>
      <c r="F395" s="32" t="n"/>
      <c r="G395" s="32" t="n"/>
      <c r="H395" s="32" t="n"/>
      <c r="I395" s="32" t="n"/>
      <c r="J395" s="32" t="n"/>
    </row>
    <row r="396" ht="15" customHeight="1" s="21">
      <c r="A396" s="32" t="n"/>
      <c r="B396" s="32" t="n"/>
      <c r="C396" s="32" t="n"/>
      <c r="D396" s="32" t="n"/>
      <c r="E396" s="32" t="n"/>
      <c r="F396" s="32" t="n"/>
      <c r="G396" s="32" t="n"/>
      <c r="H396" s="32" t="n"/>
      <c r="I396" s="32" t="n"/>
      <c r="J396" s="32" t="n"/>
    </row>
    <row r="397" ht="15" customHeight="1" s="21">
      <c r="A397" s="32" t="n"/>
      <c r="B397" s="32" t="n"/>
      <c r="C397" s="32" t="n"/>
      <c r="D397" s="32" t="n"/>
      <c r="E397" s="32" t="n"/>
      <c r="F397" s="32" t="n"/>
      <c r="G397" s="32" t="n"/>
      <c r="H397" s="32" t="n"/>
      <c r="I397" s="32" t="n"/>
      <c r="J397" s="32" t="n"/>
    </row>
    <row r="398" ht="15" customHeight="1" s="21">
      <c r="A398" s="32" t="n"/>
      <c r="B398" s="32" t="n"/>
      <c r="C398" s="32" t="n"/>
      <c r="D398" s="32" t="n"/>
      <c r="E398" s="32" t="n"/>
      <c r="F398" s="32" t="n"/>
      <c r="G398" s="32" t="n"/>
      <c r="H398" s="32" t="n"/>
      <c r="I398" s="32" t="n"/>
      <c r="J398" s="32" t="n"/>
    </row>
    <row r="399" ht="15" customHeight="1" s="21">
      <c r="A399" s="32" t="n"/>
      <c r="B399" s="32" t="n"/>
      <c r="C399" s="32" t="n"/>
      <c r="D399" s="32" t="n"/>
      <c r="E399" s="32" t="n"/>
      <c r="F399" s="32" t="n"/>
      <c r="G399" s="32" t="n"/>
      <c r="H399" s="32" t="n"/>
      <c r="I399" s="32" t="n"/>
      <c r="J399" s="32" t="n"/>
    </row>
    <row r="400" ht="15" customHeight="1" s="21">
      <c r="A400" s="32" t="n"/>
      <c r="B400" s="32" t="n"/>
      <c r="C400" s="32" t="n"/>
      <c r="D400" s="32" t="n"/>
      <c r="E400" s="32" t="n"/>
      <c r="F400" s="32" t="n"/>
      <c r="G400" s="32" t="n"/>
      <c r="H400" s="32" t="n"/>
      <c r="I400" s="32" t="n"/>
      <c r="J400" s="32" t="n"/>
    </row>
    <row r="401" ht="15" customHeight="1" s="21">
      <c r="A401" s="32" t="n"/>
      <c r="B401" s="32" t="n"/>
      <c r="C401" s="32" t="n"/>
      <c r="D401" s="32" t="n"/>
      <c r="E401" s="32" t="n"/>
      <c r="F401" s="32" t="n"/>
      <c r="G401" s="32" t="n"/>
      <c r="H401" s="32" t="n"/>
      <c r="I401" s="32" t="n"/>
      <c r="J401" s="32" t="n"/>
    </row>
    <row r="402">
      <c r="A402" s="32" t="n"/>
      <c r="B402" s="32" t="n"/>
      <c r="C402" s="32" t="n"/>
      <c r="D402" s="32" t="n"/>
      <c r="E402" s="32" t="n"/>
      <c r="F402" s="32" t="n"/>
      <c r="G402" s="32" t="n"/>
      <c r="H402" s="32" t="n"/>
      <c r="I402" s="32" t="n"/>
      <c r="J402" s="32" t="n"/>
    </row>
    <row r="403">
      <c r="A403" s="32" t="n"/>
      <c r="B403" s="32" t="n"/>
      <c r="C403" s="32" t="n"/>
      <c r="D403" s="32" t="n"/>
      <c r="E403" s="32" t="n"/>
      <c r="F403" s="32" t="n"/>
      <c r="G403" s="32" t="n"/>
      <c r="H403" s="32" t="n"/>
      <c r="I403" s="32" t="n"/>
      <c r="J403" s="32" t="n"/>
    </row>
    <row r="404">
      <c r="A404" s="32" t="n"/>
      <c r="B404" s="32" t="n"/>
      <c r="C404" s="32" t="n"/>
      <c r="D404" s="32" t="n"/>
      <c r="E404" s="32" t="n"/>
      <c r="F404" s="32" t="n"/>
      <c r="G404" s="32" t="n"/>
      <c r="H404" s="32" t="n"/>
      <c r="I404" s="32" t="n"/>
      <c r="J404" s="32" t="n"/>
    </row>
    <row r="405">
      <c r="A405" s="32" t="n"/>
      <c r="B405" s="32" t="n"/>
      <c r="C405" s="32" t="n"/>
      <c r="D405" s="32" t="n"/>
      <c r="E405" s="32" t="n"/>
      <c r="F405" s="32" t="n"/>
      <c r="G405" s="32" t="n"/>
      <c r="H405" s="32" t="n"/>
      <c r="I405" s="32" t="n"/>
      <c r="J405" s="32" t="n"/>
    </row>
    <row r="406">
      <c r="A406" s="32" t="n"/>
      <c r="B406" s="32" t="n"/>
      <c r="C406" s="32" t="n"/>
      <c r="D406" s="32" t="n"/>
      <c r="E406" s="32" t="n"/>
      <c r="F406" s="32" t="n"/>
      <c r="G406" s="32" t="n"/>
      <c r="H406" s="32" t="n"/>
      <c r="I406" s="32" t="n"/>
      <c r="J406" s="32" t="n"/>
    </row>
    <row r="407">
      <c r="A407" s="32" t="n"/>
      <c r="B407" s="32" t="n"/>
      <c r="C407" s="32" t="n"/>
      <c r="D407" s="32" t="n"/>
      <c r="E407" s="32" t="n"/>
      <c r="F407" s="32" t="n"/>
      <c r="G407" s="32" t="n"/>
      <c r="H407" s="32" t="n"/>
      <c r="I407" s="32" t="n"/>
      <c r="J407" s="32" t="n"/>
    </row>
    <row r="408">
      <c r="A408" s="32" t="n"/>
      <c r="B408" s="32" t="n"/>
      <c r="C408" s="32" t="n"/>
      <c r="D408" s="32" t="n"/>
      <c r="E408" s="32" t="n"/>
      <c r="F408" s="32" t="n"/>
      <c r="G408" s="32" t="n"/>
      <c r="H408" s="32" t="n"/>
      <c r="I408" s="32" t="n"/>
      <c r="J408" s="32" t="n"/>
    </row>
    <row r="409">
      <c r="A409" s="32" t="n"/>
      <c r="B409" s="32" t="n"/>
      <c r="C409" s="32" t="n"/>
      <c r="D409" s="32" t="n"/>
      <c r="E409" s="32" t="n"/>
      <c r="F409" s="32" t="n"/>
      <c r="G409" s="32" t="n"/>
      <c r="H409" s="32" t="n"/>
      <c r="I409" s="32" t="n"/>
      <c r="J409" s="32" t="n"/>
    </row>
    <row r="410">
      <c r="A410" s="32" t="n"/>
      <c r="B410" s="32" t="n"/>
      <c r="C410" s="32" t="n"/>
      <c r="D410" s="32" t="n"/>
      <c r="E410" s="32" t="n"/>
      <c r="F410" s="32" t="n"/>
      <c r="G410" s="32" t="n"/>
      <c r="H410" s="32" t="n"/>
      <c r="I410" s="32" t="n"/>
      <c r="J410" s="32" t="n"/>
    </row>
    <row r="411">
      <c r="A411" s="32" t="n"/>
      <c r="B411" s="32" t="n"/>
      <c r="C411" s="32" t="n"/>
      <c r="D411" s="32" t="n"/>
      <c r="E411" s="32" t="n"/>
      <c r="F411" s="32" t="n"/>
      <c r="G411" s="32" t="n"/>
      <c r="H411" s="32" t="n"/>
      <c r="I411" s="32" t="n"/>
      <c r="J411" s="32" t="n"/>
    </row>
    <row r="412">
      <c r="A412" s="32" t="n"/>
      <c r="B412" s="32" t="n"/>
      <c r="C412" s="32" t="n"/>
      <c r="D412" s="32" t="n"/>
      <c r="E412" s="32" t="n"/>
      <c r="F412" s="32" t="n"/>
      <c r="G412" s="32" t="n"/>
      <c r="H412" s="32" t="n"/>
      <c r="I412" s="32" t="n"/>
      <c r="J412" s="32" t="n"/>
    </row>
    <row r="413">
      <c r="A413" s="32" t="n"/>
      <c r="B413" s="32" t="n"/>
      <c r="C413" s="32" t="n"/>
      <c r="D413" s="32" t="n"/>
      <c r="E413" s="32" t="n"/>
      <c r="F413" s="32" t="n"/>
      <c r="G413" s="32" t="n"/>
      <c r="H413" s="32" t="n"/>
      <c r="I413" s="32" t="n"/>
      <c r="J413" s="32" t="n"/>
    </row>
    <row r="414">
      <c r="A414" s="32" t="n"/>
      <c r="B414" s="32" t="n"/>
      <c r="C414" s="32" t="n"/>
      <c r="D414" s="32" t="n"/>
      <c r="E414" s="32" t="n"/>
      <c r="F414" s="32" t="n"/>
      <c r="G414" s="32" t="n"/>
      <c r="H414" s="32" t="n"/>
      <c r="I414" s="32" t="n"/>
      <c r="J414" s="32" t="n"/>
    </row>
    <row r="415">
      <c r="A415" s="32" t="n"/>
      <c r="B415" s="32" t="n"/>
      <c r="C415" s="32" t="n"/>
      <c r="D415" s="32" t="n"/>
      <c r="E415" s="32" t="n"/>
      <c r="F415" s="32" t="n"/>
      <c r="G415" s="32" t="n"/>
      <c r="H415" s="32" t="n"/>
      <c r="I415" s="32" t="n"/>
      <c r="J415" s="32" t="n"/>
    </row>
    <row r="416">
      <c r="A416" s="32" t="n"/>
      <c r="B416" s="32" t="n"/>
      <c r="C416" s="32" t="n"/>
      <c r="D416" s="32" t="n"/>
      <c r="E416" s="32" t="n"/>
      <c r="F416" s="32" t="n"/>
      <c r="G416" s="32" t="n"/>
      <c r="H416" s="32" t="n"/>
      <c r="I416" s="32" t="n"/>
      <c r="J416" s="32" t="n"/>
    </row>
    <row r="417">
      <c r="A417" s="32" t="n"/>
      <c r="B417" s="32" t="n"/>
      <c r="C417" s="32" t="n"/>
      <c r="D417" s="32" t="n"/>
      <c r="E417" s="32" t="n"/>
      <c r="F417" s="32" t="n"/>
      <c r="G417" s="32" t="n"/>
      <c r="H417" s="32" t="n"/>
      <c r="I417" s="32" t="n"/>
      <c r="J417" s="32" t="n"/>
    </row>
    <row r="418">
      <c r="A418" s="32" t="n"/>
      <c r="B418" s="32" t="n"/>
      <c r="C418" s="32" t="n"/>
      <c r="D418" s="32" t="n"/>
      <c r="E418" s="32" t="n"/>
      <c r="F418" s="32" t="n"/>
      <c r="G418" s="32" t="n"/>
      <c r="H418" s="32" t="n"/>
      <c r="I418" s="32" t="n"/>
      <c r="J418" s="32" t="n"/>
    </row>
    <row r="419">
      <c r="A419" s="32" t="n"/>
      <c r="B419" s="32" t="n"/>
      <c r="C419" s="32" t="n"/>
      <c r="D419" s="32" t="n"/>
      <c r="E419" s="32" t="n"/>
      <c r="F419" s="32" t="n"/>
      <c r="G419" s="32" t="n"/>
      <c r="H419" s="32" t="n"/>
      <c r="I419" s="32" t="n"/>
      <c r="J419" s="32" t="n"/>
    </row>
    <row r="420">
      <c r="A420" s="32" t="n"/>
      <c r="B420" s="32" t="n"/>
      <c r="C420" s="32" t="n"/>
      <c r="D420" s="32" t="n"/>
      <c r="E420" s="32" t="n"/>
      <c r="F420" s="32" t="n"/>
      <c r="G420" s="32" t="n"/>
      <c r="H420" s="32" t="n"/>
      <c r="I420" s="32" t="n"/>
      <c r="J420" s="32" t="n"/>
    </row>
    <row r="421">
      <c r="A421" s="32" t="n"/>
      <c r="B421" s="32" t="n"/>
      <c r="C421" s="32" t="n"/>
      <c r="D421" s="32" t="n"/>
      <c r="E421" s="32" t="n"/>
      <c r="F421" s="32" t="n"/>
      <c r="G421" s="32" t="n"/>
      <c r="H421" s="32" t="n"/>
      <c r="I421" s="32" t="n"/>
      <c r="J421" s="32" t="n"/>
    </row>
    <row r="422">
      <c r="A422" s="32" t="n"/>
      <c r="B422" s="32" t="n"/>
      <c r="C422" s="32" t="n"/>
      <c r="D422" s="32" t="n"/>
      <c r="E422" s="32" t="n"/>
      <c r="F422" s="32" t="n"/>
      <c r="G422" s="32" t="n"/>
      <c r="H422" s="32" t="n"/>
      <c r="I422" s="32" t="n"/>
      <c r="J422" s="32" t="n"/>
    </row>
    <row r="423">
      <c r="A423" s="32" t="n"/>
      <c r="B423" s="32" t="n"/>
      <c r="C423" s="32" t="n"/>
      <c r="D423" s="32" t="n"/>
      <c r="E423" s="32" t="n"/>
      <c r="F423" s="32" t="n"/>
      <c r="G423" s="32" t="n"/>
      <c r="H423" s="32" t="n"/>
      <c r="I423" s="32" t="n"/>
      <c r="J423" s="32" t="n"/>
    </row>
    <row r="424">
      <c r="A424" s="32" t="n"/>
      <c r="B424" s="32" t="n"/>
      <c r="C424" s="32" t="n"/>
      <c r="D424" s="32" t="n"/>
      <c r="E424" s="32" t="n"/>
      <c r="F424" s="32" t="n"/>
      <c r="G424" s="32" t="n"/>
      <c r="H424" s="32" t="n"/>
      <c r="I424" s="32" t="n"/>
      <c r="J424" s="32" t="n"/>
    </row>
    <row r="425">
      <c r="A425" s="32" t="n"/>
      <c r="B425" s="32" t="n"/>
      <c r="C425" s="32" t="n"/>
      <c r="D425" s="32" t="n"/>
      <c r="E425" s="32" t="n"/>
      <c r="F425" s="32" t="n"/>
      <c r="G425" s="32" t="n"/>
      <c r="H425" s="32" t="n"/>
      <c r="I425" s="32" t="n"/>
      <c r="J425" s="32" t="n"/>
    </row>
    <row r="426">
      <c r="A426" s="32" t="n"/>
      <c r="B426" s="32" t="n"/>
      <c r="C426" s="32" t="n"/>
      <c r="D426" s="32" t="n"/>
      <c r="E426" s="32" t="n"/>
      <c r="F426" s="32" t="n"/>
      <c r="G426" s="32" t="n"/>
      <c r="H426" s="32" t="n"/>
      <c r="I426" s="32" t="n"/>
      <c r="J426" s="32" t="n"/>
    </row>
    <row r="427">
      <c r="A427" s="32" t="n"/>
      <c r="B427" s="32" t="n"/>
      <c r="C427" s="32" t="n"/>
      <c r="D427" s="32" t="n"/>
      <c r="E427" s="32" t="n"/>
      <c r="F427" s="32" t="n"/>
      <c r="G427" s="32" t="n"/>
      <c r="H427" s="32" t="n"/>
      <c r="I427" s="32" t="n"/>
      <c r="J427" s="32" t="n"/>
    </row>
  </sheetData>
  <dataValidations count="3">
    <dataValidation sqref="A2:A401" showDropDown="0" showInputMessage="0" showErrorMessage="1" allowBlank="1" errorTitle="Choose from the list" error="Pick one of the options in the drop-down." type="list" errorStyle="stop" operator="between">
      <formula1>Lists!$E$2:$E$13</formula1>
      <formula2>0</formula2>
    </dataValidation>
    <dataValidation sqref="D2:D401" showDropDown="0" showInputMessage="1" showErrorMessage="1" allowBlank="1" errorTitle="Choose from the list" error="Pick one of the options in the drop-down." promptTitle="Tip" prompt="Pick 'Any …' to let the app choose for the user's equipment, or a named exercise." type="list" errorStyle="stop" operator="between">
      <formula1>Lists!$I$2:$I$94</formula1>
      <formula2>0</formula2>
    </dataValidation>
    <dataValidation sqref="E2:E401" showDropDown="0" showInputMessage="0" showErrorMessage="1" allowBlank="1" errorTitle="Choose from the list" error="Pick one of the options in the drop-down." type="list" errorStyle="stop" operator="between">
      <formula1>Lists!$F$2:$F$3</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20" min="1" max="1"/>
    <col width="11" customWidth="1" style="20" min="2" max="2"/>
    <col width="7" customWidth="1" style="20" min="3" max="3"/>
    <col width="9" customWidth="1" style="20" min="4" max="6"/>
    <col width="50" customWidth="1" style="20" min="7" max="7"/>
  </cols>
  <sheetData>
    <row r="1" ht="31.5" customHeight="1" s="21">
      <c r="A1" s="31" t="inlineStr">
        <is>
          <t>Programme</t>
        </is>
      </c>
      <c r="B1" s="31" t="inlineStr">
        <is>
          <t>Role</t>
        </is>
      </c>
      <c r="C1" s="31" t="inlineStr">
        <is>
          <t>Sets</t>
        </is>
      </c>
      <c r="D1" s="31" t="inlineStr">
        <is>
          <t>Reps (low)</t>
        </is>
      </c>
      <c r="E1" s="31" t="inlineStr">
        <is>
          <t>Reps (high)</t>
        </is>
      </c>
      <c r="F1" s="31" t="inlineStr">
        <is>
          <t>Rest (s)</t>
        </is>
      </c>
      <c r="G1" s="31" t="inlineStr">
        <is>
          <t>Notes</t>
        </is>
      </c>
    </row>
    <row r="2" ht="15" customHeight="1" s="21">
      <c r="A2" s="36" t="inlineStr">
        <is>
          <t>First 5K</t>
        </is>
      </c>
      <c r="B2" s="36" t="inlineStr">
        <is>
          <t>Main</t>
        </is>
      </c>
      <c r="C2" s="32" t="n">
        <v>3</v>
      </c>
      <c r="D2" s="32" t="n">
        <v>5</v>
      </c>
      <c r="E2" s="32" t="n">
        <v>8</v>
      </c>
      <c r="F2" s="32" t="n">
        <v>150</v>
      </c>
      <c r="G2" s="32" t="n"/>
    </row>
    <row r="3" ht="15" customHeight="1" s="21">
      <c r="A3" s="36" t="inlineStr">
        <is>
          <t>First 5K</t>
        </is>
      </c>
      <c r="B3" s="36" t="inlineStr">
        <is>
          <t>Accessory</t>
        </is>
      </c>
      <c r="C3" s="32" t="n">
        <v>2</v>
      </c>
      <c r="D3" s="32" t="n">
        <v>8</v>
      </c>
      <c r="E3" s="32" t="n">
        <v>12</v>
      </c>
      <c r="F3" s="32" t="n">
        <v>90</v>
      </c>
      <c r="G3" s="32" t="n"/>
    </row>
    <row r="4" ht="15" customHeight="1" s="21">
      <c r="A4" s="36" t="inlineStr">
        <is>
          <t>Faster 5K</t>
        </is>
      </c>
      <c r="B4" s="36" t="inlineStr">
        <is>
          <t>Main</t>
        </is>
      </c>
      <c r="C4" s="32" t="n">
        <v>3</v>
      </c>
      <c r="D4" s="32" t="n">
        <v>5</v>
      </c>
      <c r="E4" s="32" t="n">
        <v>8</v>
      </c>
      <c r="F4" s="32" t="n">
        <v>150</v>
      </c>
      <c r="G4" s="32" t="n"/>
    </row>
    <row r="5" ht="15" customHeight="1" s="21">
      <c r="A5" s="36" t="inlineStr">
        <is>
          <t>Faster 5K</t>
        </is>
      </c>
      <c r="B5" s="36" t="inlineStr">
        <is>
          <t>Accessory</t>
        </is>
      </c>
      <c r="C5" s="32" t="n">
        <v>2</v>
      </c>
      <c r="D5" s="32" t="n">
        <v>8</v>
      </c>
      <c r="E5" s="32" t="n">
        <v>12</v>
      </c>
      <c r="F5" s="32" t="n">
        <v>60</v>
      </c>
      <c r="G5" s="32" t="n"/>
    </row>
    <row r="6" ht="15" customHeight="1" s="21">
      <c r="A6" s="36" t="inlineStr">
        <is>
          <t>Faster 10K</t>
        </is>
      </c>
      <c r="B6" s="36" t="inlineStr">
        <is>
          <t>Main</t>
        </is>
      </c>
      <c r="C6" s="32" t="n">
        <v>3</v>
      </c>
      <c r="D6" s="32" t="n">
        <v>5</v>
      </c>
      <c r="E6" s="32" t="n">
        <v>8</v>
      </c>
      <c r="F6" s="32" t="n">
        <v>150</v>
      </c>
      <c r="G6" s="32" t="n"/>
    </row>
    <row r="7" ht="15" customHeight="1" s="21">
      <c r="A7" s="36" t="inlineStr">
        <is>
          <t>Faster 10K</t>
        </is>
      </c>
      <c r="B7" s="36" t="inlineStr">
        <is>
          <t>Accessory</t>
        </is>
      </c>
      <c r="C7" s="32" t="n">
        <v>2</v>
      </c>
      <c r="D7" s="32" t="n">
        <v>8</v>
      </c>
      <c r="E7" s="32" t="n">
        <v>12</v>
      </c>
      <c r="F7" s="32" t="n">
        <v>90</v>
      </c>
      <c r="G7" s="32" t="n"/>
    </row>
    <row r="8" ht="15" customHeight="1" s="21">
      <c r="A8" s="36" t="inlineStr">
        <is>
          <t>Half marathon</t>
        </is>
      </c>
      <c r="B8" s="36" t="inlineStr">
        <is>
          <t>Main</t>
        </is>
      </c>
      <c r="C8" s="32" t="n">
        <v>3</v>
      </c>
      <c r="D8" s="32" t="n">
        <v>5</v>
      </c>
      <c r="E8" s="32" t="n">
        <v>8</v>
      </c>
      <c r="F8" s="32" t="n">
        <v>150</v>
      </c>
      <c r="G8" s="32" t="n"/>
    </row>
    <row r="9" ht="15" customHeight="1" s="21">
      <c r="A9" s="36" t="inlineStr">
        <is>
          <t>Half marathon</t>
        </is>
      </c>
      <c r="B9" s="36" t="inlineStr">
        <is>
          <t>Accessory</t>
        </is>
      </c>
      <c r="C9" s="32" t="n">
        <v>2</v>
      </c>
      <c r="D9" s="32" t="n">
        <v>8</v>
      </c>
      <c r="E9" s="32" t="n">
        <v>12</v>
      </c>
      <c r="F9" s="32" t="n">
        <v>90</v>
      </c>
      <c r="G9" s="32" t="n"/>
    </row>
    <row r="10" ht="15" customHeight="1" s="21">
      <c r="A10" s="36" t="inlineStr">
        <is>
          <t>Marathon</t>
        </is>
      </c>
      <c r="B10" s="36" t="inlineStr">
        <is>
          <t>Main</t>
        </is>
      </c>
      <c r="C10" s="32" t="n">
        <v>3</v>
      </c>
      <c r="D10" s="32" t="n">
        <v>5</v>
      </c>
      <c r="E10" s="32" t="n">
        <v>8</v>
      </c>
      <c r="F10" s="32" t="n">
        <v>150</v>
      </c>
      <c r="G10" s="32" t="n"/>
    </row>
    <row r="11" ht="15" customHeight="1" s="21">
      <c r="A11" s="36" t="inlineStr">
        <is>
          <t>Marathon</t>
        </is>
      </c>
      <c r="B11" s="36" t="inlineStr">
        <is>
          <t>Accessory</t>
        </is>
      </c>
      <c r="C11" s="32" t="n">
        <v>2</v>
      </c>
      <c r="D11" s="32" t="n">
        <v>8</v>
      </c>
      <c r="E11" s="32" t="n">
        <v>12</v>
      </c>
      <c r="F11" s="32" t="n">
        <v>90</v>
      </c>
      <c r="G11" s="32" t="n"/>
    </row>
    <row r="12" ht="15" customHeight="1" s="21">
      <c r="A12" s="36" t="inlineStr">
        <is>
          <t>Build strength</t>
        </is>
      </c>
      <c r="B12" s="36" t="inlineStr">
        <is>
          <t>Main</t>
        </is>
      </c>
      <c r="C12" s="32" t="n">
        <v>5</v>
      </c>
      <c r="D12" s="32" t="n">
        <v>4</v>
      </c>
      <c r="E12" s="32" t="n">
        <v>6</v>
      </c>
      <c r="F12" s="32" t="n">
        <v>150</v>
      </c>
      <c r="G12" s="32" t="n"/>
    </row>
    <row r="13" ht="15" customHeight="1" s="21">
      <c r="A13" s="36" t="inlineStr">
        <is>
          <t>Build strength</t>
        </is>
      </c>
      <c r="B13" s="36" t="inlineStr">
        <is>
          <t>Accessory</t>
        </is>
      </c>
      <c r="C13" s="32" t="n">
        <v>3</v>
      </c>
      <c r="D13" s="32" t="n">
        <v>8</v>
      </c>
      <c r="E13" s="32" t="n">
        <v>10</v>
      </c>
      <c r="F13" s="32" t="n">
        <v>90</v>
      </c>
      <c r="G13" s="32" t="n"/>
    </row>
    <row r="14" ht="15" customHeight="1" s="21">
      <c r="A14" s="36" t="inlineStr">
        <is>
          <t>Build muscle</t>
        </is>
      </c>
      <c r="B14" s="36" t="inlineStr">
        <is>
          <t>Main</t>
        </is>
      </c>
      <c r="C14" s="32" t="n">
        <v>4</v>
      </c>
      <c r="D14" s="32" t="n">
        <v>8</v>
      </c>
      <c r="E14" s="32" t="n">
        <v>12</v>
      </c>
      <c r="F14" s="32" t="n">
        <v>150</v>
      </c>
      <c r="G14" s="32" t="n"/>
    </row>
    <row r="15" ht="15" customHeight="1" s="21">
      <c r="A15" s="36" t="inlineStr">
        <is>
          <t>Build muscle</t>
        </is>
      </c>
      <c r="B15" s="36" t="inlineStr">
        <is>
          <t>Accessory</t>
        </is>
      </c>
      <c r="C15" s="32" t="n">
        <v>3</v>
      </c>
      <c r="D15" s="32" t="n">
        <v>10</v>
      </c>
      <c r="E15" s="32" t="n">
        <v>15</v>
      </c>
      <c r="F15" s="32" t="n">
        <v>90</v>
      </c>
      <c r="G15" s="32" t="n"/>
    </row>
    <row r="16" ht="15" customHeight="1" s="21">
      <c r="A16" s="36" t="inlineStr">
        <is>
          <t>Balanced hybrid</t>
        </is>
      </c>
      <c r="B16" s="36" t="inlineStr">
        <is>
          <t>Main</t>
        </is>
      </c>
      <c r="C16" s="32" t="n">
        <v>4</v>
      </c>
      <c r="D16" s="32" t="n">
        <v>6</v>
      </c>
      <c r="E16" s="32" t="n">
        <v>8</v>
      </c>
      <c r="F16" s="32" t="n">
        <v>150</v>
      </c>
      <c r="G16" s="32" t="n"/>
    </row>
    <row r="17" ht="15" customHeight="1" s="21">
      <c r="A17" s="36" t="inlineStr">
        <is>
          <t>Balanced hybrid</t>
        </is>
      </c>
      <c r="B17" s="36" t="inlineStr">
        <is>
          <t>Accessory</t>
        </is>
      </c>
      <c r="C17" s="32" t="n">
        <v>3</v>
      </c>
      <c r="D17" s="32" t="n">
        <v>8</v>
      </c>
      <c r="E17" s="32" t="n">
        <v>12</v>
      </c>
      <c r="F17" s="32" t="n">
        <v>90</v>
      </c>
      <c r="G17" s="32" t="n"/>
    </row>
    <row r="18" ht="15" customHeight="1" s="21">
      <c r="A18" s="36" t="inlineStr">
        <is>
          <t>Hyrox</t>
        </is>
      </c>
      <c r="B18" s="36" t="inlineStr">
        <is>
          <t>Main</t>
        </is>
      </c>
      <c r="C18" s="32" t="n">
        <v>3</v>
      </c>
      <c r="D18" s="32" t="n">
        <v>5</v>
      </c>
      <c r="E18" s="32" t="n">
        <v>8</v>
      </c>
      <c r="F18" s="32" t="n">
        <v>120</v>
      </c>
      <c r="G18" s="32" t="n"/>
    </row>
    <row r="19" ht="15" customHeight="1" s="21">
      <c r="A19" s="36" t="inlineStr">
        <is>
          <t>Hyrox</t>
        </is>
      </c>
      <c r="B19" s="36" t="inlineStr">
        <is>
          <t>Accessory</t>
        </is>
      </c>
      <c r="C19" s="32" t="n">
        <v>3</v>
      </c>
      <c r="D19" s="32" t="n">
        <v>10</v>
      </c>
      <c r="E19" s="32" t="n">
        <v>15</v>
      </c>
      <c r="F19" s="32" t="n">
        <v>60</v>
      </c>
      <c r="G19" s="32" t="n"/>
    </row>
    <row r="21" ht="15" customHeight="1" s="21">
      <c r="A21" s="34" t="inlineStr">
        <is>
          <t>Current app defaults. Running goals share the 'running' prescription today; set each one as you like.</t>
        </is>
      </c>
    </row>
    <row r="22" ht="15" customHeight="1" s="21">
      <c r="A22" s="34" t="inlineStr">
        <is>
          <t>Weights progress automatically (double progression): add reps up to the top of the range, then add weight.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E26"/>
  <sheetViews>
    <sheetView showFormulas="0" showGridLines="1" showRowColHeaders="1" showZeros="1" rightToLeft="0" tabSelected="0" showOutlineSymbols="1" defaultGridColor="1"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20" min="1" max="1"/>
    <col width="14" customWidth="1" style="20" min="2" max="4"/>
    <col width="70" customWidth="1" style="20" min="5" max="5"/>
  </cols>
  <sheetData>
    <row r="1" ht="31.5" customHeight="1" s="21">
      <c r="A1" s="31" t="inlineStr">
        <is>
          <t>Rule</t>
        </is>
      </c>
      <c r="B1" s="31" t="inlineStr">
        <is>
          <t>Beginner</t>
        </is>
      </c>
      <c r="C1" s="31" t="inlineStr">
        <is>
          <t>Intermediate</t>
        </is>
      </c>
      <c r="D1" s="31" t="inlineStr">
        <is>
          <t>Advanced</t>
        </is>
      </c>
      <c r="E1" s="31" t="inlineStr">
        <is>
          <t>Notes</t>
        </is>
      </c>
    </row>
    <row r="2" ht="15" customHeight="1" s="21">
      <c r="A2" s="30" t="inlineStr">
        <is>
          <t>Starting volume if they don't run yet (km/week)</t>
        </is>
      </c>
      <c r="B2" s="38" t="n">
        <v>8</v>
      </c>
      <c r="C2" s="38" t="n">
        <v>15</v>
      </c>
      <c r="D2" s="38" t="n">
        <v>25</v>
      </c>
      <c r="E2" s="34" t="inlineStr">
        <is>
          <t>Used when the runner answers 0 or doesn't know.</t>
        </is>
      </c>
    </row>
    <row r="3" ht="15" customHeight="1" s="21">
      <c r="A3" s="30" t="inlineStr">
        <is>
          <t>Minimum starting volume (km/week)</t>
        </is>
      </c>
      <c r="B3" s="38" t="n">
        <v>8</v>
      </c>
      <c r="C3" s="38" t="n">
        <v>15</v>
      </c>
      <c r="D3" s="38" t="n">
        <v>25</v>
      </c>
      <c r="E3" s="34" t="inlineStr">
        <is>
          <t>Their answer is raised to at least this.</t>
        </is>
      </c>
    </row>
    <row r="4" ht="15" customHeight="1" s="21">
      <c r="A4" s="30" t="inlineStr">
        <is>
          <t>Maximum starting volume (km/week)</t>
        </is>
      </c>
      <c r="B4" s="38" t="n">
        <v>30</v>
      </c>
      <c r="C4" s="38" t="n">
        <v>60</v>
      </c>
      <c r="D4" s="38" t="n">
        <v>100</v>
      </c>
      <c r="E4" s="34" t="inlineStr">
        <is>
          <t>Their answer is capped at this.</t>
        </is>
      </c>
    </row>
    <row r="5" ht="15" customHeight="1" s="21">
      <c r="A5" s="30" t="inlineStr">
        <is>
          <t>Longest single run (km)</t>
        </is>
      </c>
      <c r="B5" s="38" t="n">
        <v>10</v>
      </c>
      <c r="C5" s="38" t="n">
        <v>21</v>
      </c>
      <c r="D5" s="38" t="n">
        <v>32</v>
      </c>
      <c r="E5" s="34" t="inlineStr">
        <is>
          <t>No run is longer than this, except in race programmes (5K to marathon, Hyrox), which use their own long-run cap on the Programmes tab.</t>
        </is>
      </c>
    </row>
    <row r="6" ht="15" customHeight="1" s="21">
      <c r="A6" s="30" t="inlineStr">
        <is>
          <t>Shortest run (km)</t>
        </is>
      </c>
      <c r="B6" s="38" t="n">
        <v>3</v>
      </c>
      <c r="C6" s="38" t="n">
        <v>3</v>
      </c>
      <c r="D6" s="38" t="n">
        <v>4</v>
      </c>
      <c r="E6" s="34" t="inlineStr">
        <is>
          <t>Runs shorter than this are dropped or merged.</t>
        </is>
      </c>
    </row>
    <row r="7" ht="15" customHeight="1" s="21">
      <c r="A7" s="30" t="inlineStr">
        <is>
          <t>Max weekly increase (fraction)</t>
        </is>
      </c>
      <c r="B7" s="39" t="n">
        <v>0.1</v>
      </c>
      <c r="C7" s="39" t="n">
        <v>0.1</v>
      </c>
      <c r="D7" s="39" t="n">
        <v>0.12</v>
      </c>
      <c r="E7" s="34" t="inlineStr">
        <is>
          <t>0.10 = 10%. Applies to what they actually ran, not just the plan.</t>
        </is>
      </c>
    </row>
    <row r="8" ht="15" customHeight="1" s="21">
      <c r="A8" s="30" t="inlineStr">
        <is>
          <t>Long run share when 'auto' (fraction of week)</t>
        </is>
      </c>
      <c r="B8" s="39" t="n">
        <v>0.3</v>
      </c>
      <c r="C8" s="39" t="n">
        <v>0.3</v>
      </c>
      <c r="D8" s="39" t="n">
        <v>0.35</v>
      </c>
      <c r="E8" s="34" t="inlineStr">
        <is>
          <t>Used when Run weeks → Long run is 'auto'.</t>
        </is>
      </c>
    </row>
    <row r="9" ht="15" customHeight="1" s="21">
      <c r="A9" s="30" t="inlineStr">
        <is>
          <t>Example runner (km/week)</t>
        </is>
      </c>
      <c r="B9" s="38" t="n">
        <v>15</v>
      </c>
      <c r="C9" s="38" t="n">
        <v>30</v>
      </c>
      <c r="D9" s="38" t="n">
        <v>50</v>
      </c>
      <c r="E9" s="34" t="inlineStr">
        <is>
          <t>Only for the grey example columns in Run weeks.</t>
        </is>
      </c>
    </row>
    <row r="10" ht="15" customHeight="1" s="21">
      <c r="A10" s="30" t="inlineStr">
        <is>
          <t>Warm-up and cool-down, each (fraction of week)</t>
        </is>
      </c>
      <c r="B10" s="39" t="n">
        <v>0.06</v>
      </c>
      <c r="C10" s="39" t="n">
        <v>0.06</v>
      </c>
      <c r="D10" s="39" t="n">
        <v>0.06</v>
      </c>
      <c r="E10" s="34" t="inlineStr">
        <is>
          <t>Added to rep and tempo sessions. Kept between the min and max below.</t>
        </is>
      </c>
    </row>
    <row r="11" ht="15" customHeight="1" s="21">
      <c r="A11" s="30" t="inlineStr">
        <is>
          <t>Warm-up minimum (km)</t>
        </is>
      </c>
      <c r="B11" s="38" t="n">
        <v>1.5</v>
      </c>
      <c r="C11" s="38" t="n">
        <v>1.5</v>
      </c>
      <c r="D11" s="38" t="n">
        <v>1.5</v>
      </c>
      <c r="E11" s="34" t="inlineStr">
        <is>
          <t>Also used when the long run and sessions already fill the week.</t>
        </is>
      </c>
    </row>
    <row r="12" ht="15" customHeight="1" s="21">
      <c r="A12" s="30" t="inlineStr">
        <is>
          <t>Warm-up maximum (km)</t>
        </is>
      </c>
      <c r="B12" s="38" t="n">
        <v>2</v>
      </c>
      <c r="C12" s="38" t="n">
        <v>2.5</v>
      </c>
      <c r="D12" s="38" t="n">
        <v>3</v>
      </c>
      <c r="E12" s="34" t="n"/>
    </row>
    <row r="13" ht="15" customHeight="1" s="21">
      <c r="A13" s="30" t="inlineStr">
        <is>
          <t>Fast reps max (fraction of week): I, R, 5K, hills</t>
        </is>
      </c>
      <c r="B13" s="39" t="n">
        <v>0.1</v>
      </c>
      <c r="C13" s="39" t="n">
        <v>0.1</v>
      </c>
      <c r="D13" s="39" t="n">
        <v>0.1</v>
      </c>
      <c r="E13" s="34" t="inlineStr">
        <is>
          <t>Hard running per session. Lower-volume runners get fewer reps; rep lengths never change.</t>
        </is>
      </c>
    </row>
    <row r="14" ht="15" customHeight="1" s="21">
      <c r="A14" s="30" t="inlineStr">
        <is>
          <t>Fast reps floor (km)</t>
        </is>
      </c>
      <c r="B14" s="38" t="n">
        <v>3</v>
      </c>
      <c r="C14" s="38" t="n">
        <v>6</v>
      </c>
      <c r="D14" s="38" t="n">
        <v>8</v>
      </c>
      <c r="E14" s="34" t="inlineStr">
        <is>
          <t>Always allowed at least this much, whatever the week's volume.</t>
        </is>
      </c>
    </row>
    <row r="15" ht="15" customHeight="1" s="21">
      <c r="A15" s="30" t="inlineStr">
        <is>
          <t>Threshold reps max (fraction of week): T, 10K</t>
        </is>
      </c>
      <c r="B15" s="39" t="n">
        <v>0.15</v>
      </c>
      <c r="C15" s="39" t="n">
        <v>0.15</v>
      </c>
      <c r="D15" s="39" t="n">
        <v>0.15</v>
      </c>
      <c r="E15" s="34" t="n"/>
    </row>
    <row r="16" ht="15" customHeight="1" s="21">
      <c r="A16" s="30" t="inlineStr">
        <is>
          <t>Threshold reps floor (km)</t>
        </is>
      </c>
      <c r="B16" s="38" t="n">
        <v>3</v>
      </c>
      <c r="C16" s="38" t="n">
        <v>3</v>
      </c>
      <c r="D16" s="38" t="n">
        <v>3</v>
      </c>
      <c r="E16" s="34" t="n"/>
    </row>
    <row r="17" ht="15" customHeight="1" s="21">
      <c r="A17" s="30" t="inlineStr">
        <is>
          <t>Steady reps max (fraction of week): STEADY, M, HM</t>
        </is>
      </c>
      <c r="B17" s="39" t="n">
        <v>0.25</v>
      </c>
      <c r="C17" s="39" t="n">
        <v>0.25</v>
      </c>
      <c r="D17" s="39" t="n">
        <v>0.25</v>
      </c>
      <c r="E17" s="34" t="n"/>
    </row>
    <row r="18" ht="15" customHeight="1" s="21">
      <c r="A18" s="30" t="inlineStr">
        <is>
          <t>Steady reps floor (km)</t>
        </is>
      </c>
      <c r="B18" s="38" t="n">
        <v>4</v>
      </c>
      <c r="C18" s="38" t="n">
        <v>4</v>
      </c>
      <c r="D18" s="38" t="n">
        <v>4</v>
      </c>
      <c r="E18" s="34" t="n"/>
    </row>
    <row r="19" ht="15" customHeight="1" s="21">
      <c r="A19" s="30" t="inlineStr">
        <is>
          <t>Recovery run max (fraction of long run)</t>
        </is>
      </c>
      <c r="B19" s="39" t="n">
        <v>0.6</v>
      </c>
      <c r="C19" s="39" t="n">
        <v>0.6</v>
      </c>
      <c r="D19" s="39" t="n">
        <v>0.6</v>
      </c>
      <c r="E19" s="34" t="inlineStr">
        <is>
          <t>Spare volume beyond these lengths adds an easy run if there's a free day.</t>
        </is>
      </c>
    </row>
    <row r="20" ht="15" customHeight="1" s="21">
      <c r="A20" s="30" t="inlineStr">
        <is>
          <t>Easy run max (fraction of long run)</t>
        </is>
      </c>
      <c r="B20" s="39" t="n">
        <v>0.85</v>
      </c>
      <c r="C20" s="39" t="n">
        <v>0.85</v>
      </c>
      <c r="D20" s="39" t="n">
        <v>0.85</v>
      </c>
      <c r="E20" s="34" t="n"/>
    </row>
    <row r="21" ht="15" customHeight="1" s="21">
      <c r="A21" s="30" t="inlineStr">
        <is>
          <t>Shakeout max (fraction of week)</t>
        </is>
      </c>
      <c r="B21" s="39" t="n">
        <v>0.15</v>
      </c>
      <c r="C21" s="39" t="n">
        <v>0.15</v>
      </c>
      <c r="D21" s="39" t="n">
        <v>0.15</v>
      </c>
      <c r="E21" s="34" t="n"/>
    </row>
    <row r="22" ht="15" customHeight="1" s="21">
      <c r="A22" s="30" t="inlineStr">
        <is>
          <t>Recovery week after the programme (fraction of starting)</t>
        </is>
      </c>
      <c r="B22" s="39" t="n">
        <v>0.6</v>
      </c>
      <c r="C22" s="39" t="n">
        <v>0.6</v>
      </c>
      <c r="D22" s="39" t="n">
        <v>0.6</v>
      </c>
      <c r="E22" s="34" t="inlineStr">
        <is>
          <t>Easy running only, then the programme repeats from their recent running.</t>
        </is>
      </c>
    </row>
    <row r="23" ht="15" customHeight="1" s="21">
      <c r="A23" s="30" t="inlineStr">
        <is>
          <t>Ease down per week when above race-ready (fraction)</t>
        </is>
      </c>
      <c r="B23" s="39" t="n">
        <v>0.15</v>
      </c>
      <c r="C23" s="39" t="n">
        <v>0.15</v>
      </c>
      <c r="D23" s="39" t="n">
        <v>0.15</v>
      </c>
      <c r="E23" s="34" t="inlineStr">
        <is>
          <t>Runners doing more than the race needs come down to its race-ready volume this much a week.</t>
        </is>
      </c>
    </row>
    <row r="24" ht="15" customHeight="1" s="21">
      <c r="A24" s="30" t="inlineStr">
        <is>
          <t>Easy first week after a race (fraction of current)</t>
        </is>
      </c>
      <c r="B24" s="39" t="n">
        <v>0.6</v>
      </c>
      <c r="C24" s="39" t="n">
        <v>0.6</v>
      </c>
      <c r="D24" s="39" t="n">
        <v>0.6</v>
      </c>
      <c r="E24" s="34" t="inlineStr">
        <is>
          <t>Only if they say in onboarding they've raced in the last two weeks and want an easy week.</t>
        </is>
      </c>
    </row>
    <row r="26" ht="15" customHeight="1" s="21">
      <c r="A26" s="34" t="inlineStr">
        <is>
          <t>Current app defaults are filled in; change any yellow value.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I94"/>
  <sheetViews>
    <sheetView showFormulas="0" showGridLines="1" showRowColHeaders="1" showZeros="1" rightToLeft="0" tabSelected="0" showOutlineSymbols="1" defaultGridColor="1" view="normal" topLeftCell="A1" colorId="64" zoomScale="110" zoomScaleNormal="110" zoomScalePageLayoutView="100" workbookViewId="0">
      <selection pane="topLeft" activeCell="A1" activeCellId="0" sqref="A1"/>
    </sheetView>
  </sheetViews>
  <sheetFormatPr baseColWidth="8" defaultColWidth="8.6796875" defaultRowHeight="15" zeroHeight="0" outlineLevelRow="0"/>
  <cols>
    <col width="22" customWidth="1" style="20" min="1" max="8"/>
    <col width="34" customWidth="1" style="20" min="9" max="9"/>
  </cols>
  <sheetData>
    <row r="1" ht="15" customHeight="1" s="21">
      <c r="A1" s="30" t="inlineStr">
        <is>
          <t>Programmes</t>
        </is>
      </c>
      <c r="B1" s="30" t="inlineStr">
        <is>
          <t>Session types</t>
        </is>
      </c>
      <c r="C1" s="30" t="inlineStr">
        <is>
          <t>Phases</t>
        </is>
      </c>
      <c r="D1" s="30" t="inlineStr">
        <is>
          <t>Zones</t>
        </is>
      </c>
      <c r="E1" s="30" t="inlineStr">
        <is>
          <t>Splits</t>
        </is>
      </c>
      <c r="F1" s="30" t="inlineStr">
        <is>
          <t>Roles</t>
        </is>
      </c>
      <c r="G1" s="30" t="inlineStr">
        <is>
          <t>Yes / No</t>
        </is>
      </c>
      <c r="H1" s="30" t="inlineStr">
        <is>
          <t>Strength emphasis</t>
        </is>
      </c>
      <c r="I1" s="30" t="inlineStr">
        <is>
          <t>Exercises</t>
        </is>
      </c>
    </row>
    <row r="2" ht="15" customHeight="1" s="21">
      <c r="A2" s="27" t="inlineStr">
        <is>
          <t>First 5K</t>
        </is>
      </c>
      <c r="B2" s="27" t="inlineStr">
        <is>
          <t>Easy</t>
        </is>
      </c>
      <c r="C2" s="27" t="inlineStr">
        <is>
          <t>Base</t>
        </is>
      </c>
      <c r="D2" s="27" t="inlineStr">
        <is>
          <t>E</t>
        </is>
      </c>
      <c r="E2" s="27" t="inlineStr">
        <is>
          <t>Full body ×1</t>
        </is>
      </c>
      <c r="F2" s="27" t="inlineStr">
        <is>
          <t>Main</t>
        </is>
      </c>
      <c r="G2" s="27" t="inlineStr">
        <is>
          <t>Yes</t>
        </is>
      </c>
      <c r="H2" s="27" t="inlineStr">
        <is>
          <t>Normal</t>
        </is>
      </c>
      <c r="I2" s="27" t="inlineStr">
        <is>
          <t>Any squat</t>
        </is>
      </c>
    </row>
    <row r="3" ht="15" customHeight="1" s="21">
      <c r="A3" s="27" t="inlineStr">
        <is>
          <t>Faster 5K</t>
        </is>
      </c>
      <c r="B3" s="27" t="inlineStr">
        <is>
          <t>Recovery</t>
        </is>
      </c>
      <c r="C3" s="27" t="inlineStr">
        <is>
          <t>Build</t>
        </is>
      </c>
      <c r="D3" s="27" t="inlineStr">
        <is>
          <t>STEADY</t>
        </is>
      </c>
      <c r="E3" s="27" t="inlineStr">
        <is>
          <t>Full body ×2</t>
        </is>
      </c>
      <c r="F3" s="27" t="inlineStr">
        <is>
          <t>Accessory</t>
        </is>
      </c>
      <c r="G3" s="27" t="inlineStr">
        <is>
          <t>No</t>
        </is>
      </c>
      <c r="H3" s="27" t="inlineStr">
        <is>
          <t>Heavy</t>
        </is>
      </c>
      <c r="I3" s="27" t="inlineStr">
        <is>
          <t>Any hinge (deadlift)</t>
        </is>
      </c>
    </row>
    <row r="4" ht="15" customHeight="1" s="21">
      <c r="A4" s="27" t="inlineStr">
        <is>
          <t>Faster 10K</t>
        </is>
      </c>
      <c r="B4" s="27" t="inlineStr">
        <is>
          <t>Long</t>
        </is>
      </c>
      <c r="C4" s="27" t="inlineStr">
        <is>
          <t>Peak</t>
        </is>
      </c>
      <c r="D4" s="27" t="inlineStr">
        <is>
          <t>M</t>
        </is>
      </c>
      <c r="E4" s="27" t="inlineStr">
        <is>
          <t>Full body ×3</t>
        </is>
      </c>
      <c r="H4" s="27" t="inlineStr">
        <is>
          <t>Light</t>
        </is>
      </c>
      <c r="I4" s="27" t="inlineStr">
        <is>
          <t>Any hinge accessory (RDL, bridge)</t>
        </is>
      </c>
    </row>
    <row r="5" ht="15" customHeight="1" s="21">
      <c r="A5" s="27" t="inlineStr">
        <is>
          <t>Half marathon</t>
        </is>
      </c>
      <c r="B5" s="27" t="inlineStr">
        <is>
          <t>Tempo</t>
        </is>
      </c>
      <c r="C5" s="27" t="inlineStr">
        <is>
          <t>Deload</t>
        </is>
      </c>
      <c r="D5" s="27" t="inlineStr">
        <is>
          <t>HM</t>
        </is>
      </c>
      <c r="E5" s="27" t="inlineStr">
        <is>
          <t>Upper / Lower</t>
        </is>
      </c>
      <c r="H5" s="27" t="inlineStr">
        <is>
          <t>None</t>
        </is>
      </c>
      <c r="I5" s="27" t="inlineStr">
        <is>
          <t>Any lunge / split squat</t>
        </is>
      </c>
    </row>
    <row r="6" ht="15" customHeight="1" s="21">
      <c r="A6" s="27" t="inlineStr">
        <is>
          <t>Marathon</t>
        </is>
      </c>
      <c r="B6" s="27" t="inlineStr">
        <is>
          <t>Intervals</t>
        </is>
      </c>
      <c r="C6" s="27" t="inlineStr">
        <is>
          <t>Taper</t>
        </is>
      </c>
      <c r="D6" s="27" t="inlineStr">
        <is>
          <t>T</t>
        </is>
      </c>
      <c r="E6" s="27" t="inlineStr">
        <is>
          <t>Push / Pull / Legs</t>
        </is>
      </c>
      <c r="I6" s="27" t="inlineStr">
        <is>
          <t>Any calf raise</t>
        </is>
      </c>
    </row>
    <row r="7" ht="15" customHeight="1" s="21">
      <c r="A7" s="27" t="inlineStr">
        <is>
          <t>Build strength</t>
        </is>
      </c>
      <c r="B7" s="27" t="inlineStr">
        <is>
          <t>Progression</t>
        </is>
      </c>
      <c r="C7" s="27" t="inlineStr">
        <is>
          <t>Race week</t>
        </is>
      </c>
      <c r="D7" s="27" t="inlineStr">
        <is>
          <t>10K</t>
        </is>
      </c>
      <c r="E7" s="27" t="inlineStr">
        <is>
          <t>Push / Pull / Legs ×2</t>
        </is>
      </c>
      <c r="I7" s="27" t="inlineStr">
        <is>
          <t>Any horizontal push (bench, press-up)</t>
        </is>
      </c>
    </row>
    <row r="8" ht="15" customHeight="1" s="21">
      <c r="A8" s="27" t="inlineStr">
        <is>
          <t>Build muscle</t>
        </is>
      </c>
      <c r="B8" s="27" t="inlineStr">
        <is>
          <t>Fartlek</t>
        </is>
      </c>
      <c r="D8" s="27" t="inlineStr">
        <is>
          <t>5K</t>
        </is>
      </c>
      <c r="E8" s="27" t="inlineStr">
        <is>
          <t>Upper / Lower / Full</t>
        </is>
      </c>
      <c r="I8" s="27" t="inlineStr">
        <is>
          <t>Any vertical push (overhead press)</t>
        </is>
      </c>
    </row>
    <row r="9" ht="15" customHeight="1" s="21">
      <c r="A9" s="27" t="inlineStr">
        <is>
          <t>Balanced hybrid</t>
        </is>
      </c>
      <c r="B9" s="27" t="inlineStr">
        <is>
          <t>Hills</t>
        </is>
      </c>
      <c r="D9" s="27" t="inlineStr">
        <is>
          <t>I</t>
        </is>
      </c>
      <c r="E9" s="27" t="inlineStr">
        <is>
          <t>PPL + Upper / Lower</t>
        </is>
      </c>
      <c r="I9" s="27" t="inlineStr">
        <is>
          <t>Any horizontal pull (row)</t>
        </is>
      </c>
    </row>
    <row r="10" ht="15" customHeight="1" s="21">
      <c r="A10" s="27" t="inlineStr">
        <is>
          <t>Hyrox</t>
        </is>
      </c>
      <c r="B10" s="27" t="inlineStr">
        <is>
          <t>Shakeout</t>
        </is>
      </c>
      <c r="D10" s="27" t="inlineStr">
        <is>
          <t>R</t>
        </is>
      </c>
      <c r="E10" s="27" t="inlineStr">
        <is>
          <t>PPL + Upper + Shoulders &amp; arms</t>
        </is>
      </c>
      <c r="I10" s="27" t="inlineStr">
        <is>
          <t>Any vertical pull (pull-up, pulldown)</t>
        </is>
      </c>
    </row>
    <row r="11" ht="15" customHeight="1" s="21">
      <c r="B11" s="27" t="inlineStr">
        <is>
          <t>Compromised</t>
        </is>
      </c>
      <c r="E11" s="27" t="inlineStr">
        <is>
          <t>Hyrox: stations ×2</t>
        </is>
      </c>
      <c r="I11" s="27" t="inlineStr">
        <is>
          <t>Any arms</t>
        </is>
      </c>
    </row>
    <row r="12" ht="15" customHeight="1" s="21">
      <c r="B12" s="27" t="inlineStr">
        <is>
          <t>Race</t>
        </is>
      </c>
      <c r="E12" s="27" t="inlineStr">
        <is>
          <t>Hyrox: strength + stations</t>
        </is>
      </c>
      <c r="I12" s="27" t="inlineStr">
        <is>
          <t>Any core</t>
        </is>
      </c>
    </row>
    <row r="13" ht="15" customHeight="1" s="21">
      <c r="E13" s="27" t="inlineStr">
        <is>
          <t>Push / Pull / Legs / Upper</t>
        </is>
      </c>
      <c r="I13" s="27" t="inlineStr">
        <is>
          <t>Any anti-rotation core</t>
        </is>
      </c>
    </row>
    <row r="14" ht="15" customHeight="1" s="21">
      <c r="I14" s="27" t="inlineStr">
        <is>
          <t>Any Hyrox station</t>
        </is>
      </c>
    </row>
    <row r="15" ht="15" customHeight="1" s="21">
      <c r="I15" s="27" t="inlineStr">
        <is>
          <t>Arnold Press</t>
        </is>
      </c>
    </row>
    <row r="16" ht="15" customHeight="1" s="21">
      <c r="I16" s="27" t="inlineStr">
        <is>
          <t>Barbell Back Squat</t>
        </is>
      </c>
    </row>
    <row r="17" ht="15" customHeight="1" s="21">
      <c r="I17" s="27" t="inlineStr">
        <is>
          <t>Barbell Bench Press</t>
        </is>
      </c>
    </row>
    <row r="18" ht="15" customHeight="1" s="21">
      <c r="I18" s="27" t="inlineStr">
        <is>
          <t>Barbell Curl</t>
        </is>
      </c>
    </row>
    <row r="19" ht="15" customHeight="1" s="21">
      <c r="I19" s="27" t="inlineStr">
        <is>
          <t>Barbell Deadlift</t>
        </is>
      </c>
    </row>
    <row r="20" ht="15" customHeight="1" s="21">
      <c r="I20" s="27" t="inlineStr">
        <is>
          <t>Barbell Hip Thrust</t>
        </is>
      </c>
    </row>
    <row r="21" ht="15" customHeight="1" s="21">
      <c r="I21" s="27" t="inlineStr">
        <is>
          <t>Barbell Row</t>
        </is>
      </c>
    </row>
    <row r="22" ht="15" customHeight="1" s="21">
      <c r="I22" s="27" t="inlineStr">
        <is>
          <t>Bulgarian Split Squat</t>
        </is>
      </c>
    </row>
    <row r="23" ht="15" customHeight="1" s="21">
      <c r="I23" s="27" t="inlineStr">
        <is>
          <t>Burpee</t>
        </is>
      </c>
    </row>
    <row r="24" ht="15" customHeight="1" s="21">
      <c r="I24" s="27" t="inlineStr">
        <is>
          <t>Burpee Broad Jumps (metres)</t>
        </is>
      </c>
    </row>
    <row r="25" ht="15" customHeight="1" s="21">
      <c r="I25" s="27" t="inlineStr">
        <is>
          <t>Cable Crunch</t>
        </is>
      </c>
    </row>
    <row r="26" ht="15" customHeight="1" s="21">
      <c r="I26" s="27" t="inlineStr">
        <is>
          <t>Cable Fly</t>
        </is>
      </c>
    </row>
    <row r="27" ht="15" customHeight="1" s="21">
      <c r="I27" s="27" t="inlineStr">
        <is>
          <t>Chest Press Machine</t>
        </is>
      </c>
    </row>
    <row r="28" ht="15" customHeight="1" s="21">
      <c r="I28" s="27" t="inlineStr">
        <is>
          <t>Chin-Up</t>
        </is>
      </c>
    </row>
    <row r="29" ht="15" customHeight="1" s="21">
      <c r="I29" s="27" t="inlineStr">
        <is>
          <t>Close-Grip Bench Press</t>
        </is>
      </c>
    </row>
    <row r="30" ht="15" customHeight="1" s="21">
      <c r="I30" s="27" t="inlineStr">
        <is>
          <t>Dead Bug</t>
        </is>
      </c>
    </row>
    <row r="31" ht="15" customHeight="1" s="21">
      <c r="I31" s="27" t="inlineStr">
        <is>
          <t>Diamond Push-Up</t>
        </is>
      </c>
    </row>
    <row r="32" ht="15" customHeight="1" s="21">
      <c r="I32" s="27" t="inlineStr">
        <is>
          <t>Dips</t>
        </is>
      </c>
    </row>
    <row r="33" ht="15" customHeight="1" s="21">
      <c r="I33" s="27" t="inlineStr">
        <is>
          <t>Dumbbell Curl</t>
        </is>
      </c>
    </row>
    <row r="34" ht="15" customHeight="1" s="21">
      <c r="I34" s="27" t="inlineStr">
        <is>
          <t>Dumbbell Floor Press</t>
        </is>
      </c>
    </row>
    <row r="35" ht="15" customHeight="1" s="21">
      <c r="I35" s="27" t="inlineStr">
        <is>
          <t>Dumbbell Fly</t>
        </is>
      </c>
    </row>
    <row r="36" ht="15" customHeight="1" s="21">
      <c r="I36" s="27" t="inlineStr">
        <is>
          <t>Dumbbell Lateral Raise</t>
        </is>
      </c>
    </row>
    <row r="37" ht="15" customHeight="1" s="21">
      <c r="I37" s="27" t="inlineStr">
        <is>
          <t>Dumbbell Pullover</t>
        </is>
      </c>
    </row>
    <row r="38" ht="15" customHeight="1" s="21">
      <c r="I38" s="27" t="inlineStr">
        <is>
          <t>Dumbbell Romanian Deadlift</t>
        </is>
      </c>
    </row>
    <row r="39" ht="15" customHeight="1" s="21">
      <c r="I39" s="27" t="inlineStr">
        <is>
          <t>Dumbbell Shoulder Press</t>
        </is>
      </c>
    </row>
    <row r="40" ht="15" customHeight="1" s="21">
      <c r="I40" s="27" t="inlineStr">
        <is>
          <t>Dumbbell Split Squat</t>
        </is>
      </c>
    </row>
    <row r="41" ht="15" customHeight="1" s="21">
      <c r="I41" s="27" t="inlineStr">
        <is>
          <t>Dumbbell Thruster</t>
        </is>
      </c>
    </row>
    <row r="42" ht="15" customHeight="1" s="21">
      <c r="I42" s="27" t="inlineStr">
        <is>
          <t>Face Pull</t>
        </is>
      </c>
    </row>
    <row r="43" ht="15" customHeight="1" s="21">
      <c r="I43" s="27" t="inlineStr">
        <is>
          <t>Farmer's Carry</t>
        </is>
      </c>
    </row>
    <row r="44" ht="15" customHeight="1" s="21">
      <c r="I44" s="27" t="inlineStr">
        <is>
          <t>Farmers Carry (metres)</t>
        </is>
      </c>
    </row>
    <row r="45" ht="15" customHeight="1" s="21">
      <c r="I45" s="27" t="inlineStr">
        <is>
          <t>Front Squat</t>
        </is>
      </c>
    </row>
    <row r="46" ht="15" customHeight="1" s="21">
      <c r="I46" s="27" t="inlineStr">
        <is>
          <t>Goblet Squat</t>
        </is>
      </c>
    </row>
    <row r="47" ht="15" customHeight="1" s="21">
      <c r="I47" s="27" t="inlineStr">
        <is>
          <t>Good Morning</t>
        </is>
      </c>
    </row>
    <row r="48" ht="15" customHeight="1" s="21">
      <c r="I48" s="27" t="inlineStr">
        <is>
          <t>Hack Squat</t>
        </is>
      </c>
    </row>
    <row r="49" ht="15" customHeight="1" s="21">
      <c r="I49" s="27" t="inlineStr">
        <is>
          <t>Hammer Curl</t>
        </is>
      </c>
    </row>
    <row r="50" ht="15" customHeight="1" s="21">
      <c r="I50" s="27" t="inlineStr">
        <is>
          <t>Hanging Leg Raise</t>
        </is>
      </c>
    </row>
    <row r="51" ht="15" customHeight="1" s="21">
      <c r="I51" s="27" t="inlineStr">
        <is>
          <t>Incline Barbell Bench Press</t>
        </is>
      </c>
    </row>
    <row r="52" ht="15" customHeight="1" s="21">
      <c r="I52" s="27" t="inlineStr">
        <is>
          <t>Incline Dumbbell Press</t>
        </is>
      </c>
    </row>
    <row r="53" ht="15" customHeight="1" s="21">
      <c r="I53" s="27" t="inlineStr">
        <is>
          <t>Inverted Row (table or bar)</t>
        </is>
      </c>
    </row>
    <row r="54" ht="15" customHeight="1" s="21">
      <c r="I54" s="27" t="inlineStr">
        <is>
          <t>Kettlebell Swing</t>
        </is>
      </c>
    </row>
    <row r="55" ht="15" customHeight="1" s="21">
      <c r="I55" s="27" t="inlineStr">
        <is>
          <t>Lat Pulldown</t>
        </is>
      </c>
    </row>
    <row r="56" ht="15" customHeight="1" s="21">
      <c r="I56" s="27" t="inlineStr">
        <is>
          <t>Leg Curl</t>
        </is>
      </c>
    </row>
    <row r="57" ht="15" customHeight="1" s="21">
      <c r="I57" s="27" t="inlineStr">
        <is>
          <t>Leg Extension</t>
        </is>
      </c>
    </row>
    <row r="58" ht="15" customHeight="1" s="21">
      <c r="I58" s="27" t="inlineStr">
        <is>
          <t>Leg Press</t>
        </is>
      </c>
    </row>
    <row r="59" ht="15" customHeight="1" s="21">
      <c r="I59" s="27" t="inlineStr">
        <is>
          <t>Nordic Hamstring Curl</t>
        </is>
      </c>
    </row>
    <row r="60" ht="15" customHeight="1" s="21">
      <c r="I60" s="27" t="inlineStr">
        <is>
          <t>One-Arm Dumbbell Row</t>
        </is>
      </c>
    </row>
    <row r="61" ht="15" customHeight="1" s="21">
      <c r="I61" s="27" t="inlineStr">
        <is>
          <t>Overhead Press</t>
        </is>
      </c>
    </row>
    <row r="62" ht="15" customHeight="1" s="21">
      <c r="I62" s="27" t="inlineStr">
        <is>
          <t>Overhead Triceps Extension</t>
        </is>
      </c>
    </row>
    <row r="63" ht="15" customHeight="1" s="21">
      <c r="I63" s="27" t="inlineStr">
        <is>
          <t>Pallof Press</t>
        </is>
      </c>
    </row>
    <row r="64" ht="15" customHeight="1" s="21">
      <c r="I64" s="27" t="inlineStr">
        <is>
          <t>Pike Push-Up</t>
        </is>
      </c>
    </row>
    <row r="65" ht="15" customHeight="1" s="21">
      <c r="I65" s="27" t="inlineStr">
        <is>
          <t>Plank</t>
        </is>
      </c>
    </row>
    <row r="66" ht="15" customHeight="1" s="21">
      <c r="I66" s="27" t="inlineStr">
        <is>
          <t>Power Clean</t>
        </is>
      </c>
    </row>
    <row r="67" ht="15" customHeight="1" s="21">
      <c r="I67" s="27" t="inlineStr">
        <is>
          <t>Preacher Curl</t>
        </is>
      </c>
    </row>
    <row r="68" ht="15" customHeight="1" s="21">
      <c r="I68" s="27" t="inlineStr">
        <is>
          <t>Pull-Up</t>
        </is>
      </c>
    </row>
    <row r="69" ht="15" customHeight="1" s="21">
      <c r="I69" s="27" t="inlineStr">
        <is>
          <t>Push-Up</t>
        </is>
      </c>
    </row>
    <row r="70" ht="15" customHeight="1" s="21">
      <c r="I70" s="27" t="inlineStr">
        <is>
          <t>Rear Delt Fly</t>
        </is>
      </c>
    </row>
    <row r="71" ht="15" customHeight="1" s="21">
      <c r="I71" s="27" t="inlineStr">
        <is>
          <t>Reverse Lunge</t>
        </is>
      </c>
    </row>
    <row r="72" ht="15" customHeight="1" s="21">
      <c r="I72" s="27" t="inlineStr">
        <is>
          <t>Romanian Deadlift</t>
        </is>
      </c>
    </row>
    <row r="73" ht="15" customHeight="1" s="21">
      <c r="I73" s="27" t="inlineStr">
        <is>
          <t>Rowing (metres)</t>
        </is>
      </c>
    </row>
    <row r="74" ht="15" customHeight="1" s="21">
      <c r="I74" s="27" t="inlineStr">
        <is>
          <t>Russian Twist</t>
        </is>
      </c>
    </row>
    <row r="75" ht="15" customHeight="1" s="21">
      <c r="I75" s="27" t="inlineStr">
        <is>
          <t>Sandbag Lunges (metres)</t>
        </is>
      </c>
    </row>
    <row r="76" ht="15" customHeight="1" s="21">
      <c r="I76" s="27" t="inlineStr">
        <is>
          <t>Seated Cable Row</t>
        </is>
      </c>
    </row>
    <row r="77" ht="15" customHeight="1" s="21">
      <c r="I77" s="27" t="inlineStr">
        <is>
          <t>Seated Calf Raise</t>
        </is>
      </c>
    </row>
    <row r="78" ht="15" customHeight="1" s="21">
      <c r="I78" s="27" t="inlineStr">
        <is>
          <t>Side Plank</t>
        </is>
      </c>
    </row>
    <row r="79" ht="15" customHeight="1" s="21">
      <c r="I79" s="27" t="inlineStr">
        <is>
          <t>Single-Leg Calf Raise</t>
        </is>
      </c>
    </row>
    <row r="80" ht="15" customHeight="1" s="21">
      <c r="I80" s="27" t="inlineStr">
        <is>
          <t>Single-Leg Glute Bridge</t>
        </is>
      </c>
    </row>
    <row r="81" ht="15" customHeight="1" s="21">
      <c r="I81" s="27" t="inlineStr">
        <is>
          <t>Single-Leg Hip Hinge</t>
        </is>
      </c>
    </row>
    <row r="82" ht="15" customHeight="1" s="21">
      <c r="I82" s="27" t="inlineStr">
        <is>
          <t>SkiErg (metres)</t>
        </is>
      </c>
    </row>
    <row r="83" ht="15" customHeight="1" s="21">
      <c r="I83" s="27" t="inlineStr">
        <is>
          <t>Skull Crusher</t>
        </is>
      </c>
    </row>
    <row r="84" ht="15" customHeight="1" s="21">
      <c r="I84" s="27" t="inlineStr">
        <is>
          <t>Sled Pull (metres)</t>
        </is>
      </c>
    </row>
    <row r="85" ht="15" customHeight="1" s="21">
      <c r="I85" s="27" t="inlineStr">
        <is>
          <t>Sled Push (metres)</t>
        </is>
      </c>
    </row>
    <row r="86" ht="15" customHeight="1" s="21">
      <c r="I86" s="27" t="inlineStr">
        <is>
          <t>Standing Calf Raise</t>
        </is>
      </c>
    </row>
    <row r="87" ht="15" customHeight="1" s="21">
      <c r="I87" s="27" t="inlineStr">
        <is>
          <t>Step-Up</t>
        </is>
      </c>
    </row>
    <row r="88" ht="15" customHeight="1" s="21">
      <c r="I88" s="27" t="inlineStr">
        <is>
          <t>T-Bar Row</t>
        </is>
      </c>
    </row>
    <row r="89" ht="15" customHeight="1" s="21">
      <c r="I89" s="27" t="inlineStr">
        <is>
          <t>Tempo Bodyweight Squat</t>
        </is>
      </c>
    </row>
    <row r="90" ht="15" customHeight="1" s="21">
      <c r="I90" s="27" t="inlineStr">
        <is>
          <t>Towel Doorway Row</t>
        </is>
      </c>
    </row>
    <row r="91" ht="15" customHeight="1" s="21">
      <c r="I91" s="27" t="inlineStr">
        <is>
          <t>Trap Bar Deadlift</t>
        </is>
      </c>
    </row>
    <row r="92" ht="15" customHeight="1" s="21">
      <c r="I92" s="27" t="inlineStr">
        <is>
          <t>Triceps Pushdown</t>
        </is>
      </c>
    </row>
    <row r="93" ht="15" customHeight="1" s="21">
      <c r="I93" s="27" t="inlineStr">
        <is>
          <t>Walking Lunge</t>
        </is>
      </c>
    </row>
    <row r="94" ht="15" customHeight="1" s="21">
      <c r="I94" s="27" t="inlineStr">
        <is>
          <t>Wall Balls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2026-10-25T19:03:30Z</dcterms:created>
  <dcterms:modified xmlns:dcterms="http://purl.org/dc/terms/" xmlns:xsi="http://www.w3.org/2001/XMLSchema-instance" xsi:type="dcterms:W3CDTF">2026-10-28T11:36:25Z</dcterms:modified>
  <cp:revision>0</cp:revision>
</cp:coreProperties>
</file>