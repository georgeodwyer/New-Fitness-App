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The weekly volume this race needs at each level. Run weeks' % are a % of this. Runners below it build up to it; runners above it ease down to it.</t>
        </r>
      </text>
    </comment>
    <comment ref="Q1" authorId="0">
      <text>
        <r>
          <rPr>
            <sz val="10"/>
            <rFont val="Arial"/>
            <family val="2"/>
          </rPr>
          <t xml:space="preserve">Which runners see this goal in onboarding, by their running experience.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programme's race-ready volume for the runner's level (Programmes tab), reached gradually from where they are now.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An intermediate runner already at race-ready volume (Programmes tab).</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<sst xmlns="http://schemas.openxmlformats.org/spreadsheetml/2006/main" count="1687" uniqueCount="466">
  <si>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</si>
  <si>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</si>
  <si>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</si>
  <si>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</si>
  <si>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</si>
  <si>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</si>
  <si>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</si>
  <si>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</si>
  <si>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</si>
  <si>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</si>
  <si>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</si>
  <si>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</si>
  <si>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</si>
  <si>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</si>
  <si>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</si>
  <si>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</si>
  <si>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</si>
  <si>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</si>
  <si>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</si>
  <si>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</si>
  <si>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</si>
  <si>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</si>
  <si>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</si>
  <si>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</si>
  <si>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</si>
  <si>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</si>
  <si>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</si>
  <si>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</si>
  <si>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</si>
  <si>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</si>
  <si>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</si>
  <si>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</si>
  <si>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</si>
  <si>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</si>
  <si>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</si>
  <si>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</si>
  <si>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</si>
  <si>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</si>
  <si>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</si>
  <si>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</si>
  <si>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</si>
  <si>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</si>
  <si>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</si>
  <si>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</si>
  <si>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</si>
  <si>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</si>
  <si>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</si>
  <si>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</si>
  <si>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</si>
  <si>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</si>
  <si>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</si>
  <si>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</si>
  <si>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</si>
  <si>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100% in Run weeks = the programme's race-ready volume for the runner's level (Programmes tab).</t>
  </si>
  <si>
    <t xml:space="preserve">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</si>
  <si>
    <t xml:space="preserve">Raced in the last two weeks? Onboarding asks, and if they want it they get an easy first week before week 1. Nothing else adds that week.</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</si>
  <si>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</si>
  <si>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</si>
  <si>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</si>
  <si>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</si>
  <si>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</si>
  <si>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</si>
  <si>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</si>
  <si>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</si>
  <si>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</si>
  <si>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</si>
  <si>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</si>
  <si>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</si>
  <si>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</si>
  <si>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</si>
  <si>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</si>
  <si>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</si>
  <si>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</si>
  <si>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Race-ready volume: beginner (km/week)</t>
  </si>
  <si>
    <t xml:space="preserve">Race-ready volume: intermediate (km/week)</t>
  </si>
  <si>
    <t xml:space="preserve">Race-ready volume: advanced (km/week)</t>
  </si>
  <si>
    <t xml:space="preserve">Taper weeks</t>
  </si>
  <si>
    <t xml:space="preserve">Default split</t>
  </si>
  <si>
    <t xml:space="preserve">Description shown in onboarding</t>
  </si>
  <si>
    <t xml:space="preserve">Available to</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</si>
  <si>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</si>
  <si>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</si>
  <si>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</si>
  <si>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</si>
  <si>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</si>
  <si>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</si>
  <si>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Beginner only</t>
  </si>
  <si>
    <t xml:space="preserve">Faster 5K</t>
  </si>
  <si>
    <t xml:space="preserve">Speed, VO2max and threshold work to lower your 5K time.</t>
  </si>
  <si>
    <t xml:space="preserve">All levels</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</si>
  <si>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</si>
  <si>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</si>
  <si>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</si>
  <si>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</si>
  <si>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</si>
  <si>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</si>
  <si>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</si>
  <si>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</si>
  <si>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</si>
  <si>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</si>
  <si>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</si>
  <si>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</si>
  <si>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</si>
  <si>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</si>
  <si>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</si>
  <si>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Hyrox</t>
  </si>
  <si>
    <t xml:space="preserve">Hyrox: strength + stations</t>
  </si>
  <si>
    <t xml:space="preserve">Running, strength and station work for your Hyrox race, with compromised runs and a race simulation.</t>
  </si>
  <si>
    <t xml:space="preserve">Programme names in column A are fixed (they match the onboarding goals). Values shown are the app's current defaults.</t>
  </si>
  <si>
    <t xml:space="preserve">Week</t>
  </si>
  <si>
    <t xml:space="preserve">Phase</t>
  </si>
  <si>
    <t xml:space="preserve">Volume (% of race-ready)</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</si>
  <si>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</si>
  <si>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</si>
  <si>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</si>
  <si>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</si>
  <si>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</si>
  <si>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</si>
  <si>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</si>
  <si>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</si>
  <si>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</si>
  <si>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</si>
  <si>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</si>
  <si>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</si>
  <si>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</si>
  <si>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</si>
  <si>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</si>
  <si>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</si>
  <si>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</si>
  <si>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</si>
  <si>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</si>
  <si>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</si>
  <si>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</si>
  <si>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</si>
  <si>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Settle in: compromised runs start short, everything else easy.</t>
  </si>
  <si>
    <t xml:space="preserve">Station weights move towards race weight.</t>
  </si>
  <si>
    <t xml:space="preserve">First full 8 km of compromised running.</t>
  </si>
  <si>
    <t xml:space="preserve">Lighter week before the race block.</t>
  </si>
  <si>
    <t xml:space="preserve">Race simulation: run it like race day, all eight stations.</t>
  </si>
  <si>
    <t xml:space="preserve">Freshen up: shorter, sharper sessions.</t>
  </si>
  <si>
    <t xml:space="preserve">Race day! Pace the first kilometre.</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</si>
  <si>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</si>
  <si>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</si>
  <si>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</si>
  <si>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</si>
  <si>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</si>
  <si>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</si>
  <si>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</si>
  <si>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</si>
  <si>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</si>
  <si>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</si>
  <si>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</si>
  <si>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</si>
  <si>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</si>
  <si>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</si>
  <si>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</si>
  <si>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</si>
  <si>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</si>
  <si>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</si>
  <si>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</si>
  <si>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</si>
  <si>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</si>
  <si>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</si>
  <si>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</si>
  <si>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</si>
  <si>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</si>
  <si>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</si>
  <si>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</si>
  <si>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</si>
  <si>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</si>
  <si>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</si>
  <si>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</si>
  <si>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</si>
  <si>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</si>
  <si>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</si>
  <si>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</si>
  <si>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</si>
  <si>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</si>
  <si>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</si>
  <si>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</si>
  <si>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</si>
  <si>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</si>
  <si>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</si>
  <si>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</si>
  <si>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</si>
  <si>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</si>
  <si>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5 x 1 km @ T, 90 s jog between</t>
  </si>
  <si>
    <t xml:space="preserve">Compromised</t>
  </si>
  <si>
    <t xml:space="preserve">4 x 1 km @ HM effort, 2 min station between</t>
  </si>
  <si>
    <t xml:space="preserve">Between reps: one station from your list (e.g. 20 wall balls, 250 m row, 25 m sled push), at your division's weight.</t>
  </si>
  <si>
    <t xml:space="preserve">5 x 1 km @ HM effort, 2 min station between</t>
  </si>
  <si>
    <t xml:space="preserve">6 x 1 km @ T, 90 s jog between</t>
  </si>
  <si>
    <t xml:space="preserve">6 x 1 km @ HM effort, 2 min station between</t>
  </si>
  <si>
    <t xml:space="preserve">20 min continuous @ T</t>
  </si>
  <si>
    <t xml:space="preserve">6 x 1 km @ HM, 2 min station between</t>
  </si>
  <si>
    <t xml:space="preserve">5 x 1 km @ I, 2 min jog between</t>
  </si>
  <si>
    <t xml:space="preserve">7 x 1 km @ HM, 2 min station between</t>
  </si>
  <si>
    <t xml:space="preserve">2 x 12 min @ T, 2 min jog between</t>
  </si>
  <si>
    <t xml:space="preserve">8 x 1 km @ HM, 2 min station between</t>
  </si>
  <si>
    <t xml:space="preserve">4 x 1 km @ HM, 2 min station between</t>
  </si>
  <si>
    <t xml:space="preserve">8 x 1 km @ HM, 3 min station between</t>
  </si>
  <si>
    <t xml:space="preserve">Race simulation: the eight stations in race order (SkiErg, sled push, sled pull, burpee broad jumps, row, farmers carry, sandbag lunges, wall balls), one after each km.</t>
  </si>
  <si>
    <t xml:space="preserve">6 x 800 m @ I, 90 s jog between</t>
  </si>
  <si>
    <t xml:space="preserve">3 x 5 min @ T, 2 min jog between</t>
  </si>
  <si>
    <t xml:space="preserve">8 x 1 km with a station after each. Start the first km controlled; the stations decide your race.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</si>
  <si>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</si>
  <si>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</si>
  <si>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</si>
  <si>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</si>
  <si>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</si>
  <si>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</si>
  <si>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</si>
  <si>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</si>
  <si>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</si>
  <si>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</si>
  <si>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</si>
  <si>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</si>
  <si>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</si>
  <si>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</si>
  <si>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</si>
  <si>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</si>
  <si>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</si>
  <si>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</si>
  <si>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</si>
  <si>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</si>
  <si>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</si>
  <si>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</si>
  <si>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</si>
  <si>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</si>
  <si>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</si>
  <si>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</si>
  <si>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</si>
  <si>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</si>
  <si>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</si>
  <si>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</si>
  <si>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</si>
  <si>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</si>
  <si>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</si>
  <si>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</si>
  <si>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</si>
  <si>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</si>
  <si>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</si>
  <si>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</si>
  <si>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</si>
  <si>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</si>
  <si>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</si>
  <si>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</si>
  <si>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</si>
  <si>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</si>
  <si>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</si>
  <si>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</si>
  <si>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</si>
  <si>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</si>
  <si>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</si>
  <si>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</si>
  <si>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</si>
  <si>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</si>
  <si>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</si>
  <si>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</si>
  <si>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</si>
  <si>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</si>
  <si>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</si>
  <si>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</si>
  <si>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</si>
  <si>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</si>
  <si>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</si>
  <si>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</si>
  <si>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</si>
  <si>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</si>
  <si>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</si>
  <si>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</si>
  <si>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</si>
  <si>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</si>
  <si>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</si>
  <si>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</si>
  <si>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</si>
  <si>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</si>
  <si>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</si>
  <si>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Hyrox: stations ×2</t>
  </si>
  <si>
    <t xml:space="preserve">Stations A, Stations B</t>
  </si>
  <si>
    <t xml:space="preserve">Hyrox: two station sessions covering all eight stations.</t>
  </si>
  <si>
    <t xml:space="preserve">Strength A, Stations, Strength B</t>
  </si>
  <si>
    <t xml:space="preserve">Hyrox: two strength days and one station day.</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</si>
  <si>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</si>
  <si>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</si>
  <si>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</si>
  <si>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</si>
  <si>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</si>
  <si>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</si>
  <si>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</si>
  <si>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</si>
  <si>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</si>
  <si>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</si>
  <si>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</si>
  <si>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</si>
  <si>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hinge accessory (RDL, bridge)</t>
  </si>
  <si>
    <t xml:space="preserve">Accessory</t>
  </si>
  <si>
    <t xml:space="preserve">Any horizontal pull (row)</t>
  </si>
  <si>
    <t xml:space="preserve">Any vertical push (overhead press)</t>
  </si>
  <si>
    <t xml:space="preserve">Any core</t>
  </si>
  <si>
    <t xml:space="preserve">Full body A</t>
  </si>
  <si>
    <t xml:space="preserve">Any calf raise</t>
  </si>
  <si>
    <t xml:space="preserve">Full body B</t>
  </si>
  <si>
    <t xml:space="preserve">Any hinge (deadlift)</t>
  </si>
  <si>
    <t xml:space="preserve">Any vertical pull (pull-up, pulldown)</t>
  </si>
  <si>
    <t xml:space="preserve">Any lunge / split squat</t>
  </si>
  <si>
    <t xml:space="preserve">Any anti-rotation core</t>
  </si>
  <si>
    <t xml:space="preserve">Full body C</t>
  </si>
  <si>
    <t xml:space="preserve">Incline Dumbbell Press</t>
  </si>
  <si>
    <t xml:space="preserve">Barbell Hip Thrust</t>
  </si>
  <si>
    <t xml:space="preserve">Single-Leg Calf Raise</t>
  </si>
  <si>
    <t xml:space="preserve">Side Plank</t>
  </si>
  <si>
    <t xml:space="preserve">Upper A</t>
  </si>
  <si>
    <t xml:space="preserve">Any arms</t>
  </si>
  <si>
    <t xml:space="preserve">Lower A</t>
  </si>
  <si>
    <t xml:space="preserve">Upper B</t>
  </si>
  <si>
    <t xml:space="preserve">Lower B</t>
  </si>
  <si>
    <t xml:space="preserve">Push</t>
  </si>
  <si>
    <t xml:space="preserve">Dumbbell Lateral Raise</t>
  </si>
  <si>
    <t xml:space="preserve">Triceps Pushdown</t>
  </si>
  <si>
    <t xml:space="preserve">Pull</t>
  </si>
  <si>
    <t xml:space="preserve">Face Pull</t>
  </si>
  <si>
    <t xml:space="preserve">Rear Delt Fly</t>
  </si>
  <si>
    <t xml:space="preserve">Dumbbell Curl</t>
  </si>
  <si>
    <t xml:space="preserve">Legs</t>
  </si>
  <si>
    <t xml:space="preserve">Leg Curl</t>
  </si>
  <si>
    <t xml:space="preserve">Push A</t>
  </si>
  <si>
    <t xml:space="preserve">Pull A</t>
  </si>
  <si>
    <t xml:space="preserve">Legs A</t>
  </si>
  <si>
    <t xml:space="preserve">Push B</t>
  </si>
  <si>
    <t xml:space="preserve">Incline Barbell Bench Press</t>
  </si>
  <si>
    <t xml:space="preserve">Dips</t>
  </si>
  <si>
    <t xml:space="preserve">Cable Fly</t>
  </si>
  <si>
    <t xml:space="preserve">Overhead Triceps Extension</t>
  </si>
  <si>
    <t xml:space="preserve">Pull B</t>
  </si>
  <si>
    <t xml:space="preserve">Chin-Up</t>
  </si>
  <si>
    <t xml:space="preserve">Seated Cable Row</t>
  </si>
  <si>
    <t xml:space="preserve">Hammer Curl</t>
  </si>
  <si>
    <t xml:space="preserve">Legs B</t>
  </si>
  <si>
    <t xml:space="preserve">Trap Bar Deadlift</t>
  </si>
  <si>
    <t xml:space="preserve">Bulgarian Split Squat</t>
  </si>
  <si>
    <t xml:space="preserve">Leg Press</t>
  </si>
  <si>
    <t xml:space="preserve">Nordic Hamstring Curl</t>
  </si>
  <si>
    <t xml:space="preserve">Seated Calf Raise</t>
  </si>
  <si>
    <t xml:space="preserve">Hanging Leg Raise</t>
  </si>
  <si>
    <t xml:space="preserve">Upper</t>
  </si>
  <si>
    <t xml:space="preserve">Lower</t>
  </si>
  <si>
    <t xml:space="preserve">Step-Up</t>
  </si>
  <si>
    <t xml:space="preserve">Stations A</t>
  </si>
  <si>
    <t xml:space="preserve">SkiErg (metres)</t>
  </si>
  <si>
    <t xml:space="preserve">Reps are metres.</t>
  </si>
  <si>
    <t xml:space="preserve">Sled Push (metres)</t>
  </si>
  <si>
    <t xml:space="preserve">Reps are metres. Starts at your division's race weight.</t>
  </si>
  <si>
    <t xml:space="preserve">Burpee Broad Jumps (metres)</t>
  </si>
  <si>
    <t xml:space="preserve">Wall Balls</t>
  </si>
  <si>
    <t xml:space="preserve">Stations B</t>
  </si>
  <si>
    <t xml:space="preserve">Rowing (metres)</t>
  </si>
  <si>
    <t xml:space="preserve">Sled Pull (metres)</t>
  </si>
  <si>
    <t xml:space="preserve">Farmers Carry (metres)</t>
  </si>
  <si>
    <t xml:space="preserve">Reps are metres. Weight is per hand.</t>
  </si>
  <si>
    <t xml:space="preserve">Sandbag Lunges (metres)</t>
  </si>
  <si>
    <t xml:space="preserve">Strength A</t>
  </si>
  <si>
    <t xml:space="preserve">Stations</t>
  </si>
  <si>
    <t xml:space="preserve">Strength B</t>
  </si>
  <si>
    <t xml:space="preserve">A first draft of every split to edit. 'Any …' lets the app choose for the user's equipment; named exercises are swapped for the closest option if they can't do them. Blank sets/reps/rest use 'Strength by goal'.</t>
  </si>
  <si>
    <t xml:space="preserve">Leg-heavy days are kept away from hard runs and the long run automatically.</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</si>
  <si>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</si>
  <si>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</si>
  <si>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</si>
  <si>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</si>
  <si>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</si>
  <si>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</si>
  <si>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</si>
  <si>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</si>
  <si>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</si>
  <si>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</si>
  <si>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</si>
  <si>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</si>
  <si>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</si>
  <si>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</si>
  <si>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</si>
  <si>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</si>
  <si>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</si>
  <si>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</si>
  <si>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</si>
  <si>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</si>
  <si>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</si>
  <si>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</si>
  <si>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</si>
  <si>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</si>
  <si>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</si>
  <si>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</si>
  <si>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</si>
  <si>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</si>
  <si>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</si>
  <si>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</si>
  <si>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</si>
  <si>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</si>
  <si>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</si>
  <si>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</si>
  <si>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</si>
  <si>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</si>
  <si>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</si>
  <si>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</si>
  <si>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</si>
  <si>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</si>
  <si>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</si>
  <si>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Ease down per week when above race-ready (fraction)</t>
  </si>
  <si>
    <t xml:space="preserve">Runners doing more than the race needs come down to its race-ready volume this much a week.</t>
  </si>
  <si>
    <t xml:space="preserve">Easy first week after a race (fraction of current)</t>
  </si>
  <si>
    <t xml:space="preserve">Only if they say in onboarding they've raced in the last two weeks and want an easy week.</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</si>
  <si>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</si>
  <si>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</si>
  <si>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</si>
  <si>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</si>
  <si>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</si>
  <si>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</si>
  <si>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</si>
  <si>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</si>
  <si>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Any Hyrox station</t>
  </si>
  <si>
    <t xml:space="preserve">Arnold Press</t>
  </si>
  <si>
    <t xml:space="preserve">Barbell Back Squat</t>
  </si>
  <si>
    <t xml:space="preserve">Barbell Bench Press</t>
  </si>
  <si>
    <t xml:space="preserve">Barbell Curl</t>
  </si>
  <si>
    <t xml:space="preserve">Barbell Deadlift</t>
  </si>
  <si>
    <t xml:space="preserve">Barbell Row</t>
  </si>
  <si>
    <t xml:space="preserve">Burpee</t>
  </si>
  <si>
    <t xml:space="preserve">Cable Crunch</t>
  </si>
  <si>
    <t xml:space="preserve">Chest Press Machine</t>
  </si>
  <si>
    <t xml:space="preserve">Dead Bug</t>
  </si>
  <si>
    <t xml:space="preserve">Diamond Push-Up</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</si>
  <si>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</si>
  <si>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</si>
  <si>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</si>
  <si>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</si>
  <si>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</si>
  <si>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</si>
  <si>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</si>
  <si>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Farmer's Carry</t>
  </si>
  <si>
    <t xml:space="preserve">Front Squat</t>
  </si>
  <si>
    <t xml:space="preserve">Goblet Squat</t>
  </si>
  <si>
    <t xml:space="preserve">Good Morning</t>
  </si>
  <si>
    <t xml:space="preserve">Hack Squat</t>
  </si>
  <si>
    <t xml:space="preserve">Inverted Row (table or bar)</t>
  </si>
  <si>
    <t xml:space="preserve">Kettlebell Swing</t>
  </si>
  <si>
    <t xml:space="preserve">Lat Pulldown</t>
  </si>
  <si>
    <t xml:space="preserve">Leg Extension</t>
  </si>
  <si>
    <t xml:space="preserve">One-Arm Dumbbell Row</t>
  </si>
  <si>
    <t xml:space="preserve">Overhead Press</t>
  </si>
  <si>
    <t xml:space="preserve">Pallof Press</t>
  </si>
  <si>
    <t xml:space="preserve">Pike Push-Up</t>
  </si>
  <si>
    <t xml:space="preserve">Plank</t>
  </si>
  <si>
    <t xml:space="preserve">Power Clean</t>
  </si>
  <si>
    <t xml:space="preserve">Pull-Up</t>
  </si>
  <si>
    <t xml:space="preserve">Push-Up</t>
  </si>
  <si>
    <t xml:space="preserve">Reverse Lunge</t>
  </si>
  <si>
    <t xml:space="preserve">Romanian Deadlift</t>
  </si>
  <si>
    <t xml:space="preserve">Russian Twist</t>
  </si>
  <si>
    <t xml:space="preserve">Single-Leg Glute Bridge</t>
  </si>
  <si>
    <t xml:space="preserve">Single-Leg Hip Hinge</t>
  </si>
  <si>
    <t xml:space="preserve">Skull Crusher</t>
  </si>
  <si>
    <t xml:space="preserve">Standing Calf Raise</t>
  </si>
  <si>
    <t xml:space="preserve">T-Bar Row</t>
  </si>
  <si>
    <t xml:space="preserve">Tempo Bodyweight Squat</t>
  </si>
  <si>
    <t xml:space="preserve">Towel Doorway Row</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</si>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</sst>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row r="45" customFormat="false" ht="30" hidden="false" customHeight="true" outlineLevel="0" collapsed="false">
      <c r="A45" s="1"/>
      <c r="B45" s="6" t="s">
        <v>52</v>
      </c>
      <c r="C45" s="10" t="s">
        <v>61</v>
      </c>
    </row>
    <row r="46" customFormat="false" ht="30" hidden="false" customHeight="true" outlineLevel="0" collapsed="false">
      <c r="A46" s="1"/>
      <c r="B46" s="6" t="s">
        <v>52</v>
      </c>
      <c r="C46" s="10" t="s">
        <v>62</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3" min="11" style="0" width="12"/>
    <col collapsed="false" customWidth="true" hidden="false" outlineLevel="0" max="14" min="14" style="0" width="9"/>
    <col collapsed="false" customWidth="true" hidden="false" outlineLevel="0" max="15" min="15" style="0" width="20"/>
    <col collapsed="false" customWidth="true" hidden="false" outlineLevel="0" max="16" min="16" style="0" width="60"/>
    <col collapsed="false" customWidth="true" hidden="false" outlineLevel="0" max="17" min="17" style="0" width="22"/>
    <col collapsed="false" customWidth="true" hidden="false" outlineLevel="0" max="19" min="18" style="0" width="10"/>
  </cols>
  <sheetData>
    <row r="1" customFormat="false" ht="31.5" hidden="false" customHeight="true" outlineLevel="0" collapsed="false">
      <c r="A1" s="11" t="s">
        <v>63</v>
      </c>
      <c r="B1" s="11" t="s">
        <v>64</v>
      </c>
      <c r="C1" s="11" t="s">
        <v>65</v>
      </c>
      <c r="D1" s="11" t="s">
        <v>66</v>
      </c>
      <c r="E1" s="11" t="s">
        <v>67</v>
      </c>
      <c r="F1" s="11" t="s">
        <v>68</v>
      </c>
      <c r="G1" s="11" t="s">
        <v>69</v>
      </c>
      <c r="H1" s="11" t="s">
        <v>70</v>
      </c>
      <c r="I1" s="11" t="s">
        <v>71</v>
      </c>
      <c r="J1" s="11" t="s">
        <v>72</v>
      </c>
      <c r="K1" s="11" t="s">
        <v>73</v>
      </c>
      <c r="L1" s="11" t="s">
        <v>74</v>
      </c>
      <c r="M1" s="11" t="s">
        <v>75</v>
      </c>
      <c r="N1" s="11" t="s">
        <v>76</v>
      </c>
      <c r="O1" s="11" t="s">
        <v>77</v>
      </c>
      <c r="P1" s="11" t="s">
        <v>78</v>
      </c>
      <c r="Q1" s="11" t="s">
        <v>79</v>
      </c>
      <c r="R1" s="11" t="s">
        <v>80</v>
      </c>
      <c r="S1" s="11" t="s">
        <v>81</v>
      </c>
    </row>
    <row r="2" customFormat="false" ht="15" hidden="false" customHeight="false" outlineLevel="0" collapsed="false">
      <c r="A2" s="9" t="s">
        <v>82</v>
      </c>
      <c r="B2" s="12" t="s">
        <v>82</v>
      </c>
      <c r="C2" s="12" t="n">
        <v>8</v>
      </c>
      <c r="D2" s="12" t="s">
        <v>83</v>
      </c>
      <c r="E2" s="12" t="n">
        <v>3</v>
      </c>
      <c r="F2" s="12" t="n">
        <v>4</v>
      </c>
      <c r="G2" s="12" t="n">
        <v>1</v>
      </c>
      <c r="H2" s="12" t="n">
        <v>2</v>
      </c>
      <c r="I2" s="12" t="n">
        <v>8</v>
      </c>
      <c r="J2" s="12" t="n">
        <v>25</v>
      </c>
      <c r="K2" s="12" t="n">
        <v>20</v>
      </c>
      <c r="L2" s="12"/>
      <c r="M2" s="12"/>
      <c r="N2" s="12" t="n">
        <v>1</v>
      </c>
      <c r="O2" s="12" t="s">
        <v>84</v>
      </c>
      <c r="P2" s="12" t="s">
        <v>85</v>
      </c>
      <c r="Q2" s="12" t="s">
        <v>86</v>
      </c>
      <c r="R2" s="13" t="n">
        <f aca="false">COUNTIF('Run weeks'!$A$2:$A$401,A2)</f>
        <v>0</v>
      </c>
      <c r="S2" s="13" t="n">
        <f aca="false">COUNTIF('Run sessions'!$A$2:$A$401,A2)</f>
        <v>0</v>
      </c>
    </row>
    <row r="3" customFormat="false" ht="15" hidden="false" customHeight="false" outlineLevel="0" collapsed="false">
      <c r="A3" s="9" t="s">
        <v>87</v>
      </c>
      <c r="B3" s="12" t="s">
        <v>87</v>
      </c>
      <c r="C3" s="12" t="n">
        <v>8</v>
      </c>
      <c r="D3" s="12" t="s">
        <v>83</v>
      </c>
      <c r="E3" s="12" t="n">
        <v>3</v>
      </c>
      <c r="F3" s="12" t="n">
        <v>5</v>
      </c>
      <c r="G3" s="12" t="n">
        <v>1</v>
      </c>
      <c r="H3" s="12" t="n">
        <v>2</v>
      </c>
      <c r="I3" s="12" t="n">
        <v>12</v>
      </c>
      <c r="J3" s="12" t="n">
        <v>60</v>
      </c>
      <c r="K3" s="12" t="n">
        <v>20</v>
      </c>
      <c r="L3" s="12" t="n">
        <v>30</v>
      </c>
      <c r="M3" s="12" t="n">
        <v>45</v>
      </c>
      <c r="N3" s="12" t="n">
        <v>1</v>
      </c>
      <c r="O3" s="12" t="s">
        <v>84</v>
      </c>
      <c r="P3" s="12" t="s">
        <v>88</v>
      </c>
      <c r="Q3" s="12" t="s">
        <v>89</v>
      </c>
      <c r="R3" s="13" t="n">
        <f aca="false">COUNTIF('Run weeks'!$A$2:$A$401,A3)</f>
        <v>0</v>
      </c>
      <c r="S3" s="13" t="n">
        <f aca="false">COUNTIF('Run sessions'!$A$2:$A$401,A3)</f>
        <v>0</v>
      </c>
    </row>
    <row r="4" customFormat="false" ht="15" hidden="false" customHeight="false" outlineLevel="0" collapsed="false">
      <c r="A4" s="9" t="s">
        <v>90</v>
      </c>
      <c r="B4" s="12" t="s">
        <v>90</v>
      </c>
      <c r="C4" s="12" t="n">
        <v>10</v>
      </c>
      <c r="D4" s="12" t="s">
        <v>83</v>
      </c>
      <c r="E4" s="12" t="n">
        <v>3</v>
      </c>
      <c r="F4" s="12" t="n">
        <v>5</v>
      </c>
      <c r="G4" s="12" t="n">
        <v>1</v>
      </c>
      <c r="H4" s="12" t="n">
        <v>2</v>
      </c>
      <c r="I4" s="12" t="n">
        <v>16</v>
      </c>
      <c r="J4" s="12" t="n">
        <v>45</v>
      </c>
      <c r="K4" s="12" t="n">
        <v>25</v>
      </c>
      <c r="L4" s="12" t="n">
        <v>40</v>
      </c>
      <c r="M4" s="12" t="n">
        <v>55</v>
      </c>
      <c r="N4" s="12" t="n">
        <v>1</v>
      </c>
      <c r="O4" s="12" t="s">
        <v>84</v>
      </c>
      <c r="P4" s="12" t="s">
        <v>91</v>
      </c>
      <c r="Q4" s="12" t="s">
        <v>89</v>
      </c>
      <c r="R4" s="13" t="n">
        <f aca="false">COUNTIF('Run weeks'!$A$2:$A$401,A4)</f>
        <v>0</v>
      </c>
      <c r="S4" s="13" t="n">
        <f aca="false">COUNTIF('Run sessions'!$A$2:$A$401,A4)</f>
        <v>0</v>
      </c>
    </row>
    <row r="5" customFormat="false" ht="15" hidden="false" customHeight="false" outlineLevel="0" collapsed="false">
      <c r="A5" s="9" t="s">
        <v>92</v>
      </c>
      <c r="B5" s="12" t="s">
        <v>92</v>
      </c>
      <c r="C5" s="12" t="n">
        <v>12</v>
      </c>
      <c r="D5" s="12" t="s">
        <v>83</v>
      </c>
      <c r="E5" s="12" t="n">
        <v>3</v>
      </c>
      <c r="F5" s="12" t="n">
        <v>5</v>
      </c>
      <c r="G5" s="12" t="n">
        <v>1</v>
      </c>
      <c r="H5" s="12" t="n">
        <v>2</v>
      </c>
      <c r="I5" s="12" t="n">
        <v>22</v>
      </c>
      <c r="J5" s="12" t="n">
        <v>70</v>
      </c>
      <c r="K5" s="12" t="n">
        <v>30</v>
      </c>
      <c r="L5" s="12" t="n">
        <v>45</v>
      </c>
      <c r="M5" s="12" t="n">
        <v>65</v>
      </c>
      <c r="N5" s="12" t="n">
        <v>2</v>
      </c>
      <c r="O5" s="12" t="s">
        <v>84</v>
      </c>
      <c r="P5" s="12" t="s">
        <v>93</v>
      </c>
      <c r="Q5" s="12" t="s">
        <v>89</v>
      </c>
      <c r="R5" s="13" t="n">
        <f aca="false">COUNTIF('Run weeks'!$A$2:$A$401,A5)</f>
        <v>12</v>
      </c>
      <c r="S5" s="13" t="n">
        <f aca="false">COUNTIF('Run sessions'!$A$2:$A$401,A5)</f>
        <v>48</v>
      </c>
    </row>
    <row r="6" customFormat="false" ht="15" hidden="false" customHeight="false" outlineLevel="0" collapsed="false">
      <c r="A6" s="9" t="s">
        <v>94</v>
      </c>
      <c r="B6" s="12" t="s">
        <v>94</v>
      </c>
      <c r="C6" s="12" t="n">
        <v>16</v>
      </c>
      <c r="D6" s="12" t="s">
        <v>83</v>
      </c>
      <c r="E6" s="12" t="n">
        <v>4</v>
      </c>
      <c r="F6" s="12" t="n">
        <v>6</v>
      </c>
      <c r="G6" s="12" t="n">
        <v>1</v>
      </c>
      <c r="H6" s="12" t="n">
        <v>2</v>
      </c>
      <c r="I6" s="12" t="n">
        <v>32</v>
      </c>
      <c r="J6" s="12" t="n">
        <v>100</v>
      </c>
      <c r="K6" s="12" t="n">
        <v>40</v>
      </c>
      <c r="L6" s="12" t="n">
        <v>60</v>
      </c>
      <c r="M6" s="12" t="n">
        <v>85</v>
      </c>
      <c r="N6" s="12" t="n">
        <v>3</v>
      </c>
      <c r="O6" s="12" t="s">
        <v>84</v>
      </c>
      <c r="P6" s="12" t="s">
        <v>95</v>
      </c>
      <c r="Q6" s="12" t="s">
        <v>89</v>
      </c>
      <c r="R6" s="13" t="n">
        <f aca="false">COUNTIF('Run weeks'!$A$2:$A$401,A6)</f>
        <v>0</v>
      </c>
      <c r="S6" s="13" t="n">
        <f aca="false">COUNTIF('Run sessions'!$A$2:$A$401,A6)</f>
        <v>0</v>
      </c>
    </row>
    <row r="7" customFormat="false" ht="15" hidden="false" customHeight="false" outlineLevel="0" collapsed="false">
      <c r="A7" s="9" t="s">
        <v>96</v>
      </c>
      <c r="B7" s="12" t="s">
        <v>96</v>
      </c>
      <c r="C7" s="12" t="n">
        <v>8</v>
      </c>
      <c r="D7" s="12" t="s">
        <v>83</v>
      </c>
      <c r="E7" s="12" t="n">
        <v>1</v>
      </c>
      <c r="F7" s="12" t="n">
        <v>3</v>
      </c>
      <c r="G7" s="12" t="n">
        <v>2</v>
      </c>
      <c r="H7" s="12" t="n">
        <v>4</v>
      </c>
      <c r="I7" s="12" t="n">
        <v>10</v>
      </c>
      <c r="J7" s="12" t="n">
        <v>25</v>
      </c>
      <c r="K7" s="12" t="n">
        <v>10</v>
      </c>
      <c r="L7" s="12" t="n">
        <v>15</v>
      </c>
      <c r="M7" s="12" t="n">
        <v>25</v>
      </c>
      <c r="N7" s="12" t="n">
        <v>1</v>
      </c>
      <c r="O7" s="12" t="s">
        <v>97</v>
      </c>
      <c r="P7" s="12" t="s">
        <v>98</v>
      </c>
      <c r="Q7" s="12" t="s">
        <v>89</v>
      </c>
      <c r="R7" s="13" t="n">
        <f aca="false">COUNTIF('Run weeks'!$A$2:$A$401,A7)</f>
        <v>0</v>
      </c>
      <c r="S7" s="13" t="n">
        <f aca="false">COUNTIF('Run sessions'!$A$2:$A$401,A7)</f>
        <v>0</v>
      </c>
    </row>
    <row r="8" customFormat="false" ht="15" hidden="false" customHeight="false" outlineLevel="0" collapsed="false">
      <c r="A8" s="9" t="s">
        <v>99</v>
      </c>
      <c r="B8" s="12" t="s">
        <v>99</v>
      </c>
      <c r="C8" s="12" t="n">
        <v>8</v>
      </c>
      <c r="D8" s="12" t="s">
        <v>83</v>
      </c>
      <c r="E8" s="12" t="n">
        <v>1</v>
      </c>
      <c r="F8" s="12" t="n">
        <v>3</v>
      </c>
      <c r="G8" s="12" t="n">
        <v>3</v>
      </c>
      <c r="H8" s="12" t="n">
        <v>5</v>
      </c>
      <c r="I8" s="12" t="n">
        <v>10</v>
      </c>
      <c r="J8" s="12" t="n">
        <v>25</v>
      </c>
      <c r="K8" s="12" t="n">
        <v>10</v>
      </c>
      <c r="L8" s="12" t="n">
        <v>15</v>
      </c>
      <c r="M8" s="12" t="n">
        <v>25</v>
      </c>
      <c r="N8" s="12" t="n">
        <v>1</v>
      </c>
      <c r="O8" s="12" t="s">
        <v>100</v>
      </c>
      <c r="P8" s="12" t="s">
        <v>101</v>
      </c>
      <c r="Q8" s="12" t="s">
        <v>89</v>
      </c>
      <c r="R8" s="13" t="n">
        <f aca="false">COUNTIF('Run weeks'!$A$2:$A$401,A8)</f>
        <v>0</v>
      </c>
      <c r="S8" s="13" t="n">
        <f aca="false">COUNTIF('Run sessions'!$A$2:$A$401,A8)</f>
        <v>0</v>
      </c>
    </row>
    <row r="9" customFormat="false" ht="15" hidden="false" customHeight="false" outlineLevel="0" collapsed="false">
      <c r="A9" s="9" t="s">
        <v>102</v>
      </c>
      <c r="B9" s="12" t="s">
        <v>102</v>
      </c>
      <c r="C9" s="12" t="n">
        <v>8</v>
      </c>
      <c r="D9" s="12" t="s">
        <v>83</v>
      </c>
      <c r="E9" s="12" t="n">
        <v>2</v>
      </c>
      <c r="F9" s="12" t="n">
        <v>4</v>
      </c>
      <c r="G9" s="12" t="n">
        <v>2</v>
      </c>
      <c r="H9" s="12" t="n">
        <v>3</v>
      </c>
      <c r="I9" s="12" t="n">
        <v>16</v>
      </c>
      <c r="J9" s="12" t="n">
        <v>35</v>
      </c>
      <c r="K9" s="12" t="n">
        <v>15</v>
      </c>
      <c r="L9" s="12" t="n">
        <v>25</v>
      </c>
      <c r="M9" s="12" t="n">
        <v>40</v>
      </c>
      <c r="N9" s="12" t="n">
        <v>1</v>
      </c>
      <c r="O9" s="12" t="s">
        <v>103</v>
      </c>
      <c r="P9" s="12" t="s">
        <v>104</v>
      </c>
      <c r="Q9" s="12" t="s">
        <v>89</v>
      </c>
      <c r="R9" s="13" t="n">
        <f aca="false">COUNTIF('Run weeks'!$A$2:$A$401,A9)</f>
        <v>0</v>
      </c>
      <c r="S9" s="13" t="n">
        <f aca="false">COUNTIF('Run sessions'!$A$2:$A$401,A9)</f>
        <v>0</v>
      </c>
    </row>
    <row r="10" customFormat="false" ht="23.85" hidden="false" customHeight="false" outlineLevel="0" collapsed="false">
      <c r="A10" s="9" t="s">
        <v>105</v>
      </c>
      <c r="B10" s="12" t="s">
        <v>105</v>
      </c>
      <c r="C10" s="12" t="n">
        <v>12</v>
      </c>
      <c r="D10" s="12" t="s">
        <v>83</v>
      </c>
      <c r="E10" s="12" t="n">
        <v>3</v>
      </c>
      <c r="F10" s="12" t="n">
        <v>5</v>
      </c>
      <c r="G10" s="12" t="n">
        <v>2</v>
      </c>
      <c r="H10" s="12" t="n">
        <v>3</v>
      </c>
      <c r="I10" s="12" t="n">
        <v>16</v>
      </c>
      <c r="J10" s="12" t="n">
        <v>55</v>
      </c>
      <c r="K10" s="12" t="n">
        <v>20</v>
      </c>
      <c r="L10" s="12" t="n">
        <v>30</v>
      </c>
      <c r="M10" s="12" t="n">
        <v>45</v>
      </c>
      <c r="N10" s="12" t="n">
        <v>1</v>
      </c>
      <c r="O10" s="12" t="s">
        <v>106</v>
      </c>
      <c r="P10" s="12" t="s">
        <v>107</v>
      </c>
      <c r="Q10" s="12" t="s">
        <v>89</v>
      </c>
      <c r="R10" s="13" t="n">
        <f aca="false">COUNTIF('Run weeks'!$A$2:$A$401,A10)</f>
        <v>12</v>
      </c>
      <c r="S10" s="13" t="n">
        <f aca="false">COUNTIF('Run sessions'!$A$2:$A$401,A10)</f>
        <v>44</v>
      </c>
    </row>
    <row r="12" customFormat="false" ht="15" hidden="false" customHeight="false" outlineLevel="0" collapsed="false">
      <c r="A12" s="14" t="s">
        <v>108</v>
      </c>
    </row>
  </sheetData>
  <dataValidations count="3">
    <dataValidation allowBlank="true" error="Pick one of the options in the drop-down." errorStyle="stop" errorTitle="Choose from the list" operator="between" prompt="What happens when the last week is done." promptTitle="Tip" showDropDown="false" showErrorMessage="true" showInputMessage="true" sqref="D2:D10"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O2:O10" type="list">
      <formula1>Lists!$E$2:$E$11</formula1>
      <formula2>0</formula2>
    </dataValidation>
    <dataValidation allowBlank="true" error="Pick one of the options in the drop-down." errorStyle="stop" errorTitle="Choose from the list" operator="between" prompt="Which runners see this goal in onboarding." promptTitle="Tip" showDropDown="false" showErrorMessage="true" showInputMessage="true" sqref="Q2:Q10" type="list">
      <formula1>"All levels,Beginner only,Beginner and intermediate,Intermediate and advanced,Advanced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63</v>
      </c>
      <c r="B1" s="11" t="s">
        <v>109</v>
      </c>
      <c r="C1" s="11" t="s">
        <v>110</v>
      </c>
      <c r="D1" s="11" t="s">
        <v>111</v>
      </c>
      <c r="E1" s="11" t="s">
        <v>112</v>
      </c>
      <c r="F1" s="11" t="s">
        <v>113</v>
      </c>
      <c r="G1" s="11" t="s">
        <v>114</v>
      </c>
      <c r="H1" s="11" t="s">
        <v>81</v>
      </c>
      <c r="I1" s="11" t="s">
        <v>115</v>
      </c>
      <c r="J1" s="11" t="s">
        <v>116</v>
      </c>
    </row>
    <row r="2" customFormat="false" ht="15" hidden="false" customHeight="false" outlineLevel="0" collapsed="false">
      <c r="A2" s="12" t="s">
        <v>92</v>
      </c>
      <c r="B2" s="12" t="n">
        <v>1</v>
      </c>
      <c r="C2" s="12" t="s">
        <v>117</v>
      </c>
      <c r="D2" s="15" t="n">
        <v>1</v>
      </c>
      <c r="E2" s="12" t="s">
        <v>118</v>
      </c>
      <c r="F2" s="12" t="s">
        <v>119</v>
      </c>
      <c r="G2" s="12" t="s">
        <v>120</v>
      </c>
      <c r="H2" s="13" t="n">
        <f aca="false">IF(A2="","",COUNTIFS('Run sessions'!$A$2:$A$401,A2,'Run sessions'!$B$2:$B$401,B2))</f>
        <v>4</v>
      </c>
      <c r="I2" s="13" t="n">
        <f aca="false">IF(OR(A2="",D2=""),"",IFERROR(ROUND(D2*IF(INDEX(Programmes!$L$2:$L$10,MATCH(A2,Programmes!$A$2:$A$10,0))="",INDEX(Programmes!$K$2:$K$10,MATCH(A2,Programmes!$A$2:$A$10,0)),INDEX(Programmes!$L$2:$L$10,MATCH(A2,Programmes!$A$2:$A$10,0))),1),""))</f>
        <v>45</v>
      </c>
      <c r="J2" s="13" t="n">
        <f aca="false">IF(I2="","",IF(LOWER(E2)="auto",ROUND(I2*Rules!$C$8,1),IF(RIGHT(E2,1)="%",ROUND(I2*VALUE(LEFT(E2,LEN(E2)-1))/100,1),IF(RIGHT(LOWER(E2),2)="km",VALUE(LEFT(E2,LEN(E2)-2)),IF(LOWER(E2)="race","race",E2)))))</f>
        <v>13.5</v>
      </c>
    </row>
    <row r="3" customFormat="false" ht="15" hidden="false" customHeight="false" outlineLevel="0" collapsed="false">
      <c r="A3" s="12" t="s">
        <v>92</v>
      </c>
      <c r="B3" s="12" t="n">
        <v>2</v>
      </c>
      <c r="C3" s="12" t="s">
        <v>117</v>
      </c>
      <c r="D3" s="15" t="n">
        <v>1.05</v>
      </c>
      <c r="E3" s="12" t="s">
        <v>118</v>
      </c>
      <c r="F3" s="12" t="s">
        <v>119</v>
      </c>
      <c r="G3" s="12"/>
      <c r="H3" s="13" t="n">
        <f aca="false">IF(A3="","",COUNTIFS('Run sessions'!$A$2:$A$401,A3,'Run sessions'!$B$2:$B$401,B3))</f>
        <v>4</v>
      </c>
      <c r="I3" s="13" t="n">
        <f aca="false">IF(OR(A3="",D3=""),"",IFERROR(ROUND(D3*IF(INDEX(Programmes!$L$2:$L$10,MATCH(A3,Programmes!$A$2:$A$10,0))="",INDEX(Programmes!$K$2:$K$10,MATCH(A3,Programmes!$A$2:$A$10,0)),INDEX(Programmes!$L$2:$L$10,MATCH(A3,Programmes!$A$2:$A$10,0))),1),""))</f>
        <v>47.3</v>
      </c>
      <c r="J3" s="13" t="n">
        <f aca="false">IF(I3="","",IF(LOWER(E3)="auto",ROUND(I3*Rules!$C$8,1),IF(RIGHT(E3,1)="%",ROUND(I3*VALUE(LEFT(E3,LEN(E3)-1))/100,1),IF(RIGHT(LOWER(E3),2)="km",VALUE(LEFT(E3,LEN(E3)-2)),IF(LOWER(E3)="race","race",E3)))))</f>
        <v>14.2</v>
      </c>
    </row>
    <row r="4" customFormat="false" ht="15" hidden="false" customHeight="false" outlineLevel="0" collapsed="false">
      <c r="A4" s="12" t="s">
        <v>92</v>
      </c>
      <c r="B4" s="12" t="n">
        <v>3</v>
      </c>
      <c r="C4" s="12" t="s">
        <v>117</v>
      </c>
      <c r="D4" s="15" t="n">
        <v>1.1</v>
      </c>
      <c r="E4" s="12" t="s">
        <v>118</v>
      </c>
      <c r="F4" s="12" t="s">
        <v>121</v>
      </c>
      <c r="G4" s="12"/>
      <c r="H4" s="13" t="n">
        <f aca="false">IF(A4="","",COUNTIFS('Run sessions'!$A$2:$A$401,A4,'Run sessions'!$B$2:$B$401,B4))</f>
        <v>4</v>
      </c>
      <c r="I4" s="13" t="n">
        <f aca="false">IF(OR(A4="",D4=""),"",IFERROR(ROUND(D4*IF(INDEX(Programmes!$L$2:$L$10,MATCH(A4,Programmes!$A$2:$A$10,0))="",INDEX(Programmes!$K$2:$K$10,MATCH(A4,Programmes!$A$2:$A$10,0)),INDEX(Programmes!$L$2:$L$10,MATCH(A4,Programmes!$A$2:$A$10,0))),1),""))</f>
        <v>49.5</v>
      </c>
      <c r="J4" s="13" t="n">
        <f aca="false">IF(I4="","",IF(LOWER(E4)="auto",ROUND(I4*Rules!$C$8,1),IF(RIGHT(E4,1)="%",ROUND(I4*VALUE(LEFT(E4,LEN(E4)-1))/100,1),IF(RIGHT(LOWER(E4),2)="km",VALUE(LEFT(E4,LEN(E4)-2)),IF(LOWER(E4)="race","race",E4)))))</f>
        <v>14.9</v>
      </c>
    </row>
    <row r="5" customFormat="false" ht="15" hidden="false" customHeight="false" outlineLevel="0" collapsed="false">
      <c r="A5" s="12" t="s">
        <v>92</v>
      </c>
      <c r="B5" s="12" t="n">
        <v>4</v>
      </c>
      <c r="C5" s="12" t="s">
        <v>122</v>
      </c>
      <c r="D5" s="15" t="n">
        <v>0.9</v>
      </c>
      <c r="E5" s="12" t="s">
        <v>118</v>
      </c>
      <c r="F5" s="12" t="s">
        <v>123</v>
      </c>
      <c r="G5" s="12" t="s">
        <v>124</v>
      </c>
      <c r="H5" s="13" t="n">
        <f aca="false">IF(A5="","",COUNTIFS('Run sessions'!$A$2:$A$401,A5,'Run sessions'!$B$2:$B$401,B5))</f>
        <v>4</v>
      </c>
      <c r="I5" s="13" t="n">
        <f aca="false">IF(OR(A5="",D5=""),"",IFERROR(ROUND(D5*IF(INDEX(Programmes!$L$2:$L$10,MATCH(A5,Programmes!$A$2:$A$10,0))="",INDEX(Programmes!$K$2:$K$10,MATCH(A5,Programmes!$A$2:$A$10,0)),INDEX(Programmes!$L$2:$L$10,MATCH(A5,Programmes!$A$2:$A$10,0))),1),""))</f>
        <v>40.5</v>
      </c>
      <c r="J5" s="13" t="n">
        <f aca="false">IF(I5="","",IF(LOWER(E5)="auto",ROUND(I5*Rules!$C$8,1),IF(RIGHT(E5,1)="%",ROUND(I5*VALUE(LEFT(E5,LEN(E5)-1))/100,1),IF(RIGHT(LOWER(E5),2)="km",VALUE(LEFT(E5,LEN(E5)-2)),IF(LOWER(E5)="race","race",E5)))))</f>
        <v>12.2</v>
      </c>
    </row>
    <row r="6" customFormat="false" ht="15" hidden="false" customHeight="false" outlineLevel="0" collapsed="false">
      <c r="A6" s="12" t="s">
        <v>92</v>
      </c>
      <c r="B6" s="12" t="n">
        <v>5</v>
      </c>
      <c r="C6" s="12" t="s">
        <v>125</v>
      </c>
      <c r="D6" s="15" t="n">
        <v>1.15</v>
      </c>
      <c r="E6" s="12" t="s">
        <v>118</v>
      </c>
      <c r="F6" s="12" t="s">
        <v>119</v>
      </c>
      <c r="G6" s="12"/>
      <c r="H6" s="13" t="n">
        <f aca="false">IF(A6="","",COUNTIFS('Run sessions'!$A$2:$A$401,A6,'Run sessions'!$B$2:$B$401,B6))</f>
        <v>4</v>
      </c>
      <c r="I6" s="13" t="n">
        <f aca="false">IF(OR(A6="",D6=""),"",IFERROR(ROUND(D6*IF(INDEX(Programmes!$L$2:$L$10,MATCH(A6,Programmes!$A$2:$A$10,0))="",INDEX(Programmes!$K$2:$K$10,MATCH(A6,Programmes!$A$2:$A$10,0)),INDEX(Programmes!$L$2:$L$10,MATCH(A6,Programmes!$A$2:$A$10,0))),1),""))</f>
        <v>51.8</v>
      </c>
      <c r="J6" s="13" t="n">
        <f aca="false">IF(I6="","",IF(LOWER(E6)="auto",ROUND(I6*Rules!$C$8,1),IF(RIGHT(E6,1)="%",ROUND(I6*VALUE(LEFT(E6,LEN(E6)-1))/100,1),IF(RIGHT(LOWER(E6),2)="km",VALUE(LEFT(E6,LEN(E6)-2)),IF(LOWER(E6)="race","race",E6)))))</f>
        <v>15.5</v>
      </c>
    </row>
    <row r="7" customFormat="false" ht="15" hidden="false" customHeight="false" outlineLevel="0" collapsed="false">
      <c r="A7" s="12" t="s">
        <v>92</v>
      </c>
      <c r="B7" s="12" t="n">
        <v>6</v>
      </c>
      <c r="C7" s="12" t="s">
        <v>125</v>
      </c>
      <c r="D7" s="15" t="n">
        <v>1.2</v>
      </c>
      <c r="E7" s="12" t="s">
        <v>118</v>
      </c>
      <c r="F7" s="12" t="s">
        <v>121</v>
      </c>
      <c r="G7" s="12"/>
      <c r="H7" s="13" t="n">
        <f aca="false">IF(A7="","",COUNTIFS('Run sessions'!$A$2:$A$401,A7,'Run sessions'!$B$2:$B$401,B7))</f>
        <v>4</v>
      </c>
      <c r="I7" s="13" t="n">
        <f aca="false">IF(OR(A7="",D7=""),"",IFERROR(ROUND(D7*IF(INDEX(Programmes!$L$2:$L$10,MATCH(A7,Programmes!$A$2:$A$10,0))="",INDEX(Programmes!$K$2:$K$10,MATCH(A7,Programmes!$A$2:$A$10,0)),INDEX(Programmes!$L$2:$L$10,MATCH(A7,Programmes!$A$2:$A$10,0))),1),""))</f>
        <v>54</v>
      </c>
      <c r="J7" s="13" t="n">
        <f aca="false">IF(I7="","",IF(LOWER(E7)="auto",ROUND(I7*Rules!$C$8,1),IF(RIGHT(E7,1)="%",ROUND(I7*VALUE(LEFT(E7,LEN(E7)-1))/100,1),IF(RIGHT(LOWER(E7),2)="km",VALUE(LEFT(E7,LEN(E7)-2)),IF(LOWER(E7)="race","race",E7)))))</f>
        <v>16.2</v>
      </c>
    </row>
    <row r="8" customFormat="false" ht="15" hidden="false" customHeight="false" outlineLevel="0" collapsed="false">
      <c r="A8" s="12" t="s">
        <v>92</v>
      </c>
      <c r="B8" s="12" t="n">
        <v>7</v>
      </c>
      <c r="C8" s="12" t="s">
        <v>125</v>
      </c>
      <c r="D8" s="15" t="n">
        <v>1.25</v>
      </c>
      <c r="E8" s="12" t="s">
        <v>118</v>
      </c>
      <c r="F8" s="12" t="s">
        <v>119</v>
      </c>
      <c r="G8" s="12"/>
      <c r="H8" s="13" t="n">
        <f aca="false">IF(A8="","",COUNTIFS('Run sessions'!$A$2:$A$401,A8,'Run sessions'!$B$2:$B$401,B8))</f>
        <v>4</v>
      </c>
      <c r="I8" s="13" t="n">
        <f aca="false">IF(OR(A8="",D8=""),"",IFERROR(ROUND(D8*IF(INDEX(Programmes!$L$2:$L$10,MATCH(A8,Programmes!$A$2:$A$10,0))="",INDEX(Programmes!$K$2:$K$10,MATCH(A8,Programmes!$A$2:$A$10,0)),INDEX(Programmes!$L$2:$L$10,MATCH(A8,Programmes!$A$2:$A$10,0))),1),""))</f>
        <v>56.3</v>
      </c>
      <c r="J8" s="13" t="n">
        <f aca="false">IF(I8="","",IF(LOWER(E8)="auto",ROUND(I8*Rules!$C$8,1),IF(RIGHT(E8,1)="%",ROUND(I8*VALUE(LEFT(E8,LEN(E8)-1))/100,1),IF(RIGHT(LOWER(E8),2)="km",VALUE(LEFT(E8,LEN(E8)-2)),IF(LOWER(E8)="race","race",E8)))))</f>
        <v>16.9</v>
      </c>
    </row>
    <row r="9" customFormat="false" ht="15" hidden="false" customHeight="false" outlineLevel="0" collapsed="false">
      <c r="A9" s="12" t="s">
        <v>92</v>
      </c>
      <c r="B9" s="12" t="n">
        <v>8</v>
      </c>
      <c r="C9" s="12" t="s">
        <v>122</v>
      </c>
      <c r="D9" s="15" t="n">
        <v>1</v>
      </c>
      <c r="E9" s="12" t="s">
        <v>118</v>
      </c>
      <c r="F9" s="12" t="s">
        <v>123</v>
      </c>
      <c r="G9" s="12"/>
      <c r="H9" s="13" t="n">
        <f aca="false">IF(A9="","",COUNTIFS('Run sessions'!$A$2:$A$401,A9,'Run sessions'!$B$2:$B$401,B9))</f>
        <v>4</v>
      </c>
      <c r="I9" s="13" t="n">
        <f aca="false">IF(OR(A9="",D9=""),"",IFERROR(ROUND(D9*IF(INDEX(Programmes!$L$2:$L$10,MATCH(A9,Programmes!$A$2:$A$10,0))="",INDEX(Programmes!$K$2:$K$10,MATCH(A9,Programmes!$A$2:$A$10,0)),INDEX(Programmes!$L$2:$L$10,MATCH(A9,Programmes!$A$2:$A$10,0))),1),""))</f>
        <v>45</v>
      </c>
      <c r="J9" s="13" t="n">
        <f aca="false">IF(I9="","",IF(LOWER(E9)="auto",ROUND(I9*Rules!$C$8,1),IF(RIGHT(E9,1)="%",ROUND(I9*VALUE(LEFT(E9,LEN(E9)-1))/100,1),IF(RIGHT(LOWER(E9),2)="km",VALUE(LEFT(E9,LEN(E9)-2)),IF(LOWER(E9)="race","race",E9)))))</f>
        <v>13.5</v>
      </c>
    </row>
    <row r="10" customFormat="false" ht="15" hidden="false" customHeight="false" outlineLevel="0" collapsed="false">
      <c r="A10" s="12" t="s">
        <v>92</v>
      </c>
      <c r="B10" s="12" t="n">
        <v>9</v>
      </c>
      <c r="C10" s="12" t="s">
        <v>126</v>
      </c>
      <c r="D10" s="15" t="n">
        <v>1.3</v>
      </c>
      <c r="E10" s="12" t="s">
        <v>127</v>
      </c>
      <c r="F10" s="12" t="s">
        <v>119</v>
      </c>
      <c r="G10" s="12" t="s">
        <v>128</v>
      </c>
      <c r="H10" s="13" t="n">
        <f aca="false">IF(A10="","",COUNTIFS('Run sessions'!$A$2:$A$401,A10,'Run sessions'!$B$2:$B$401,B10))</f>
        <v>4</v>
      </c>
      <c r="I10" s="13" t="n">
        <f aca="false">IF(OR(A10="",D10=""),"",IFERROR(ROUND(D10*IF(INDEX(Programmes!$L$2:$L$10,MATCH(A10,Programmes!$A$2:$A$10,0))="",INDEX(Programmes!$K$2:$K$10,MATCH(A10,Programmes!$A$2:$A$10,0)),INDEX(Programmes!$L$2:$L$10,MATCH(A10,Programmes!$A$2:$A$10,0))),1),""))</f>
        <v>58.5</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92</v>
      </c>
      <c r="B11" s="12" t="n">
        <v>10</v>
      </c>
      <c r="C11" s="12" t="s">
        <v>126</v>
      </c>
      <c r="D11" s="15" t="n">
        <v>1.3</v>
      </c>
      <c r="E11" s="12" t="s">
        <v>118</v>
      </c>
      <c r="F11" s="12" t="s">
        <v>119</v>
      </c>
      <c r="G11" s="12"/>
      <c r="H11" s="13" t="n">
        <f aca="false">IF(A11="","",COUNTIFS('Run sessions'!$A$2:$A$401,A11,'Run sessions'!$B$2:$B$401,B11))</f>
        <v>4</v>
      </c>
      <c r="I11" s="13" t="n">
        <f aca="false">IF(OR(A11="",D11=""),"",IFERROR(ROUND(D11*IF(INDEX(Programmes!$L$2:$L$10,MATCH(A11,Programmes!$A$2:$A$10,0))="",INDEX(Programmes!$K$2:$K$10,MATCH(A11,Programmes!$A$2:$A$10,0)),INDEX(Programmes!$L$2:$L$10,MATCH(A11,Programmes!$A$2:$A$10,0))),1),""))</f>
        <v>58.5</v>
      </c>
      <c r="J11" s="13" t="n">
        <f aca="false">IF(I11="","",IF(LOWER(E11)="auto",ROUND(I11*Rules!$C$8,1),IF(RIGHT(E11,1)="%",ROUND(I11*VALUE(LEFT(E11,LEN(E11)-1))/100,1),IF(RIGHT(LOWER(E11),2)="km",VALUE(LEFT(E11,LEN(E11)-2)),IF(LOWER(E11)="race","race",E11)))))</f>
        <v>17.6</v>
      </c>
    </row>
    <row r="12" customFormat="false" ht="15" hidden="false" customHeight="false" outlineLevel="0" collapsed="false">
      <c r="A12" s="12" t="s">
        <v>92</v>
      </c>
      <c r="B12" s="12" t="n">
        <v>11</v>
      </c>
      <c r="C12" s="12" t="s">
        <v>129</v>
      </c>
      <c r="D12" s="15" t="n">
        <v>0.85</v>
      </c>
      <c r="E12" s="12" t="s">
        <v>118</v>
      </c>
      <c r="F12" s="12" t="s">
        <v>123</v>
      </c>
      <c r="G12" s="12" t="s">
        <v>130</v>
      </c>
      <c r="H12" s="13" t="n">
        <f aca="false">IF(A12="","",COUNTIFS('Run sessions'!$A$2:$A$401,A12,'Run sessions'!$B$2:$B$401,B12))</f>
        <v>4</v>
      </c>
      <c r="I12" s="13" t="n">
        <f aca="false">IF(OR(A12="",D12=""),"",IFERROR(ROUND(D12*IF(INDEX(Programmes!$L$2:$L$10,MATCH(A12,Programmes!$A$2:$A$10,0))="",INDEX(Programmes!$K$2:$K$10,MATCH(A12,Programmes!$A$2:$A$10,0)),INDEX(Programmes!$L$2:$L$10,MATCH(A12,Programmes!$A$2:$A$10,0))),1),""))</f>
        <v>38.3</v>
      </c>
      <c r="J12" s="13" t="n">
        <f aca="false">IF(I12="","",IF(LOWER(E12)="auto",ROUND(I12*Rules!$C$8,1),IF(RIGHT(E12,1)="%",ROUND(I12*VALUE(LEFT(E12,LEN(E12)-1))/100,1),IF(RIGHT(LOWER(E12),2)="km",VALUE(LEFT(E12,LEN(E12)-2)),IF(LOWER(E12)="race","race",E12)))))</f>
        <v>11.5</v>
      </c>
    </row>
    <row r="13" customFormat="false" ht="15" hidden="false" customHeight="false" outlineLevel="0" collapsed="false">
      <c r="A13" s="12" t="s">
        <v>92</v>
      </c>
      <c r="B13" s="12" t="n">
        <v>12</v>
      </c>
      <c r="C13" s="12" t="s">
        <v>131</v>
      </c>
      <c r="D13" s="15" t="n">
        <v>0.55</v>
      </c>
      <c r="E13" s="12" t="s">
        <v>45</v>
      </c>
      <c r="F13" s="12" t="s">
        <v>132</v>
      </c>
      <c r="G13" s="12" t="s">
        <v>133</v>
      </c>
      <c r="H13" s="13" t="n">
        <f aca="false">IF(A13="","",COUNTIFS('Run sessions'!$A$2:$A$401,A13,'Run sessions'!$B$2:$B$401,B13))</f>
        <v>4</v>
      </c>
      <c r="I13" s="13" t="n">
        <f aca="false">IF(OR(A13="",D13=""),"",IFERROR(ROUND(D13*IF(INDEX(Programmes!$L$2:$L$10,MATCH(A13,Programmes!$A$2:$A$10,0))="",INDEX(Programmes!$K$2:$K$10,MATCH(A13,Programmes!$A$2:$A$10,0)),INDEX(Programmes!$L$2:$L$10,MATCH(A13,Programmes!$A$2:$A$10,0))),1),""))</f>
        <v>24.8</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t="s">
        <v>105</v>
      </c>
      <c r="B14" s="12" t="n">
        <v>1</v>
      </c>
      <c r="C14" s="12" t="s">
        <v>117</v>
      </c>
      <c r="D14" s="15" t="n">
        <v>0.85</v>
      </c>
      <c r="E14" s="12" t="s">
        <v>118</v>
      </c>
      <c r="F14" s="12" t="s">
        <v>119</v>
      </c>
      <c r="G14" s="12" t="s">
        <v>134</v>
      </c>
      <c r="H14" s="13" t="n">
        <f aca="false">IF(A14="","",COUNTIFS('Run sessions'!$A$2:$A$401,A14,'Run sessions'!$B$2:$B$401,B14))</f>
        <v>4</v>
      </c>
      <c r="I14" s="13" t="n">
        <f aca="false">IF(OR(A14="",D14=""),"",IFERROR(ROUND(D14*IF(INDEX(Programmes!$L$2:$L$10,MATCH(A14,Programmes!$A$2:$A$10,0))="",INDEX(Programmes!$K$2:$K$10,MATCH(A14,Programmes!$A$2:$A$10,0)),INDEX(Programmes!$L$2:$L$10,MATCH(A14,Programmes!$A$2:$A$10,0))),1),""))</f>
        <v>25.5</v>
      </c>
      <c r="J14" s="13" t="n">
        <f aca="false">IF(I14="","",IF(LOWER(E14)="auto",ROUND(I14*Rules!$C$8,1),IF(RIGHT(E14,1)="%",ROUND(I14*VALUE(LEFT(E14,LEN(E14)-1))/100,1),IF(RIGHT(LOWER(E14),2)="km",VALUE(LEFT(E14,LEN(E14)-2)),IF(LOWER(E14)="race","race",E14)))))</f>
        <v>7.7</v>
      </c>
    </row>
    <row r="15" customFormat="false" ht="15" hidden="false" customHeight="false" outlineLevel="0" collapsed="false">
      <c r="A15" s="12" t="s">
        <v>105</v>
      </c>
      <c r="B15" s="12" t="n">
        <v>2</v>
      </c>
      <c r="C15" s="12" t="s">
        <v>117</v>
      </c>
      <c r="D15" s="15" t="n">
        <v>0.9</v>
      </c>
      <c r="E15" s="12" t="s">
        <v>118</v>
      </c>
      <c r="F15" s="12" t="s">
        <v>119</v>
      </c>
      <c r="G15" s="12"/>
      <c r="H15" s="13" t="n">
        <f aca="false">IF(A15="","",COUNTIFS('Run sessions'!$A$2:$A$401,A15,'Run sessions'!$B$2:$B$401,B15))</f>
        <v>4</v>
      </c>
      <c r="I15" s="13" t="n">
        <f aca="false">IF(OR(A15="",D15=""),"",IFERROR(ROUND(D15*IF(INDEX(Programmes!$L$2:$L$10,MATCH(A15,Programmes!$A$2:$A$10,0))="",INDEX(Programmes!$K$2:$K$10,MATCH(A15,Programmes!$A$2:$A$10,0)),INDEX(Programmes!$L$2:$L$10,MATCH(A15,Programmes!$A$2:$A$10,0))),1),""))</f>
        <v>27</v>
      </c>
      <c r="J15" s="13" t="n">
        <f aca="false">IF(I15="","",IF(LOWER(E15)="auto",ROUND(I15*Rules!$C$8,1),IF(RIGHT(E15,1)="%",ROUND(I15*VALUE(LEFT(E15,LEN(E15)-1))/100,1),IF(RIGHT(LOWER(E15),2)="km",VALUE(LEFT(E15,LEN(E15)-2)),IF(LOWER(E15)="race","race",E15)))))</f>
        <v>8.1</v>
      </c>
    </row>
    <row r="16" customFormat="false" ht="15" hidden="false" customHeight="false" outlineLevel="0" collapsed="false">
      <c r="A16" s="12" t="s">
        <v>105</v>
      </c>
      <c r="B16" s="12" t="n">
        <v>3</v>
      </c>
      <c r="C16" s="12" t="s">
        <v>117</v>
      </c>
      <c r="D16" s="15" t="n">
        <v>0.95</v>
      </c>
      <c r="E16" s="12" t="s">
        <v>118</v>
      </c>
      <c r="F16" s="12" t="s">
        <v>121</v>
      </c>
      <c r="G16" s="12"/>
      <c r="H16" s="13" t="n">
        <f aca="false">IF(A16="","",COUNTIFS('Run sessions'!$A$2:$A$401,A16,'Run sessions'!$B$2:$B$401,B16))</f>
        <v>4</v>
      </c>
      <c r="I16" s="13" t="n">
        <f aca="false">IF(OR(A16="",D16=""),"",IFERROR(ROUND(D16*IF(INDEX(Programmes!$L$2:$L$10,MATCH(A16,Programmes!$A$2:$A$10,0))="",INDEX(Programmes!$K$2:$K$10,MATCH(A16,Programmes!$A$2:$A$10,0)),INDEX(Programmes!$L$2:$L$10,MATCH(A16,Programmes!$A$2:$A$10,0))),1),""))</f>
        <v>28.5</v>
      </c>
      <c r="J16" s="13" t="n">
        <f aca="false">IF(I16="","",IF(LOWER(E16)="auto",ROUND(I16*Rules!$C$8,1),IF(RIGHT(E16,1)="%",ROUND(I16*VALUE(LEFT(E16,LEN(E16)-1))/100,1),IF(RIGHT(LOWER(E16),2)="km",VALUE(LEFT(E16,LEN(E16)-2)),IF(LOWER(E16)="race","race",E16)))))</f>
        <v>8.6</v>
      </c>
    </row>
    <row r="17" customFormat="false" ht="15" hidden="false" customHeight="false" outlineLevel="0" collapsed="false">
      <c r="A17" s="12" t="s">
        <v>105</v>
      </c>
      <c r="B17" s="12" t="n">
        <v>4</v>
      </c>
      <c r="C17" s="12" t="s">
        <v>122</v>
      </c>
      <c r="D17" s="15" t="n">
        <v>0.8</v>
      </c>
      <c r="E17" s="12" t="s">
        <v>118</v>
      </c>
      <c r="F17" s="12" t="s">
        <v>123</v>
      </c>
      <c r="G17" s="12" t="s">
        <v>124</v>
      </c>
      <c r="H17" s="13" t="n">
        <f aca="false">IF(A17="","",COUNTIFS('Run sessions'!$A$2:$A$401,A17,'Run sessions'!$B$2:$B$401,B17))</f>
        <v>3</v>
      </c>
      <c r="I17" s="13" t="n">
        <f aca="false">IF(OR(A17="",D17=""),"",IFERROR(ROUND(D17*IF(INDEX(Programmes!$L$2:$L$10,MATCH(A17,Programmes!$A$2:$A$10,0))="",INDEX(Programmes!$K$2:$K$10,MATCH(A17,Programmes!$A$2:$A$10,0)),INDEX(Programmes!$L$2:$L$10,MATCH(A17,Programmes!$A$2:$A$10,0))),1),""))</f>
        <v>24</v>
      </c>
      <c r="J17" s="13" t="n">
        <f aca="false">IF(I17="","",IF(LOWER(E17)="auto",ROUND(I17*Rules!$C$8,1),IF(RIGHT(E17,1)="%",ROUND(I17*VALUE(LEFT(E17,LEN(E17)-1))/100,1),IF(RIGHT(LOWER(E17),2)="km",VALUE(LEFT(E17,LEN(E17)-2)),IF(LOWER(E17)="race","race",E17)))))</f>
        <v>7.2</v>
      </c>
    </row>
    <row r="18" customFormat="false" ht="15" hidden="false" customHeight="false" outlineLevel="0" collapsed="false">
      <c r="A18" s="12" t="s">
        <v>105</v>
      </c>
      <c r="B18" s="12" t="n">
        <v>5</v>
      </c>
      <c r="C18" s="12" t="s">
        <v>125</v>
      </c>
      <c r="D18" s="15" t="n">
        <v>1</v>
      </c>
      <c r="E18" s="12" t="s">
        <v>118</v>
      </c>
      <c r="F18" s="12" t="s">
        <v>119</v>
      </c>
      <c r="G18" s="12" t="s">
        <v>135</v>
      </c>
      <c r="H18" s="13" t="n">
        <f aca="false">IF(A18="","",COUNTIFS('Run sessions'!$A$2:$A$401,A18,'Run sessions'!$B$2:$B$401,B18))</f>
        <v>4</v>
      </c>
      <c r="I18" s="13" t="n">
        <f aca="false">IF(OR(A18="",D18=""),"",IFERROR(ROUND(D18*IF(INDEX(Programmes!$L$2:$L$10,MATCH(A18,Programmes!$A$2:$A$10,0))="",INDEX(Programmes!$K$2:$K$10,MATCH(A18,Programmes!$A$2:$A$10,0)),INDEX(Programmes!$L$2:$L$10,MATCH(A18,Programmes!$A$2:$A$10,0))),1),""))</f>
        <v>30</v>
      </c>
      <c r="J18" s="13" t="n">
        <f aca="false">IF(I18="","",IF(LOWER(E18)="auto",ROUND(I18*Rules!$C$8,1),IF(RIGHT(E18,1)="%",ROUND(I18*VALUE(LEFT(E18,LEN(E18)-1))/100,1),IF(RIGHT(LOWER(E18),2)="km",VALUE(LEFT(E18,LEN(E18)-2)),IF(LOWER(E18)="race","race",E18)))))</f>
        <v>9</v>
      </c>
    </row>
    <row r="19" customFormat="false" ht="15" hidden="false" customHeight="false" outlineLevel="0" collapsed="false">
      <c r="A19" s="12" t="s">
        <v>105</v>
      </c>
      <c r="B19" s="12" t="n">
        <v>6</v>
      </c>
      <c r="C19" s="12" t="s">
        <v>125</v>
      </c>
      <c r="D19" s="15" t="n">
        <v>1.05</v>
      </c>
      <c r="E19" s="12" t="s">
        <v>118</v>
      </c>
      <c r="F19" s="12" t="s">
        <v>121</v>
      </c>
      <c r="G19" s="12"/>
      <c r="H19" s="13" t="n">
        <f aca="false">IF(A19="","",COUNTIFS('Run sessions'!$A$2:$A$401,A19,'Run sessions'!$B$2:$B$401,B19))</f>
        <v>4</v>
      </c>
      <c r="I19" s="13" t="n">
        <f aca="false">IF(OR(A19="",D19=""),"",IFERROR(ROUND(D19*IF(INDEX(Programmes!$L$2:$L$10,MATCH(A19,Programmes!$A$2:$A$10,0))="",INDEX(Programmes!$K$2:$K$10,MATCH(A19,Programmes!$A$2:$A$10,0)),INDEX(Programmes!$L$2:$L$10,MATCH(A19,Programmes!$A$2:$A$10,0))),1),""))</f>
        <v>31.5</v>
      </c>
      <c r="J19" s="13" t="n">
        <f aca="false">IF(I19="","",IF(LOWER(E19)="auto",ROUND(I19*Rules!$C$8,1),IF(RIGHT(E19,1)="%",ROUND(I19*VALUE(LEFT(E19,LEN(E19)-1))/100,1),IF(RIGHT(LOWER(E19),2)="km",VALUE(LEFT(E19,LEN(E19)-2)),IF(LOWER(E19)="race","race",E19)))))</f>
        <v>9.5</v>
      </c>
    </row>
    <row r="20" customFormat="false" ht="15" hidden="false" customHeight="false" outlineLevel="0" collapsed="false">
      <c r="A20" s="12" t="s">
        <v>105</v>
      </c>
      <c r="B20" s="12" t="n">
        <v>7</v>
      </c>
      <c r="C20" s="12" t="s">
        <v>125</v>
      </c>
      <c r="D20" s="15" t="n">
        <v>1.1</v>
      </c>
      <c r="E20" s="12" t="s">
        <v>118</v>
      </c>
      <c r="F20" s="12" t="s">
        <v>119</v>
      </c>
      <c r="G20" s="12" t="s">
        <v>136</v>
      </c>
      <c r="H20" s="13" t="n">
        <f aca="false">IF(A20="","",COUNTIFS('Run sessions'!$A$2:$A$401,A20,'Run sessions'!$B$2:$B$401,B20))</f>
        <v>4</v>
      </c>
      <c r="I20" s="13" t="n">
        <f aca="false">IF(OR(A20="",D20=""),"",IFERROR(ROUND(D20*IF(INDEX(Programmes!$L$2:$L$10,MATCH(A20,Programmes!$A$2:$A$10,0))="",INDEX(Programmes!$K$2:$K$10,MATCH(A20,Programmes!$A$2:$A$10,0)),INDEX(Programmes!$L$2:$L$10,MATCH(A20,Programmes!$A$2:$A$10,0))),1),""))</f>
        <v>33</v>
      </c>
      <c r="J20" s="13" t="n">
        <f aca="false">IF(I20="","",IF(LOWER(E20)="auto",ROUND(I20*Rules!$C$8,1),IF(RIGHT(E20,1)="%",ROUND(I20*VALUE(LEFT(E20,LEN(E20)-1))/100,1),IF(RIGHT(LOWER(E20),2)="km",VALUE(LEFT(E20,LEN(E20)-2)),IF(LOWER(E20)="race","race",E20)))))</f>
        <v>9.9</v>
      </c>
    </row>
    <row r="21" customFormat="false" ht="15" hidden="false" customHeight="false" outlineLevel="0" collapsed="false">
      <c r="A21" s="12" t="s">
        <v>105</v>
      </c>
      <c r="B21" s="12" t="n">
        <v>8</v>
      </c>
      <c r="C21" s="12" t="s">
        <v>122</v>
      </c>
      <c r="D21" s="15" t="n">
        <v>0.9</v>
      </c>
      <c r="E21" s="12" t="s">
        <v>118</v>
      </c>
      <c r="F21" s="12" t="s">
        <v>123</v>
      </c>
      <c r="G21" s="12" t="s">
        <v>137</v>
      </c>
      <c r="H21" s="13" t="n">
        <f aca="false">IF(A21="","",COUNTIFS('Run sessions'!$A$2:$A$401,A21,'Run sessions'!$B$2:$B$401,B21))</f>
        <v>3</v>
      </c>
      <c r="I21" s="13" t="n">
        <f aca="false">IF(OR(A21="",D21=""),"",IFERROR(ROUND(D21*IF(INDEX(Programmes!$L$2:$L$10,MATCH(A21,Programmes!$A$2:$A$10,0))="",INDEX(Programmes!$K$2:$K$10,MATCH(A21,Programmes!$A$2:$A$10,0)),INDEX(Programmes!$L$2:$L$10,MATCH(A21,Programmes!$A$2:$A$10,0))),1),""))</f>
        <v>27</v>
      </c>
      <c r="J21" s="13" t="n">
        <f aca="false">IF(I21="","",IF(LOWER(E21)="auto",ROUND(I21*Rules!$C$8,1),IF(RIGHT(E21,1)="%",ROUND(I21*VALUE(LEFT(E21,LEN(E21)-1))/100,1),IF(RIGHT(LOWER(E21),2)="km",VALUE(LEFT(E21,LEN(E21)-2)),IF(LOWER(E21)="race","race",E21)))))</f>
        <v>8.1</v>
      </c>
    </row>
    <row r="22" customFormat="false" ht="15" hidden="false" customHeight="false" outlineLevel="0" collapsed="false">
      <c r="A22" s="12" t="s">
        <v>105</v>
      </c>
      <c r="B22" s="12" t="n">
        <v>9</v>
      </c>
      <c r="C22" s="12" t="s">
        <v>126</v>
      </c>
      <c r="D22" s="15" t="n">
        <v>1.1</v>
      </c>
      <c r="E22" s="12" t="s">
        <v>118</v>
      </c>
      <c r="F22" s="12" t="s">
        <v>119</v>
      </c>
      <c r="G22" s="12" t="s">
        <v>138</v>
      </c>
      <c r="H22" s="13" t="n">
        <f aca="false">IF(A22="","",COUNTIFS('Run sessions'!$A$2:$A$401,A22,'Run sessions'!$B$2:$B$401,B22))</f>
        <v>4</v>
      </c>
      <c r="I22" s="13" t="n">
        <f aca="false">IF(OR(A22="",D22=""),"",IFERROR(ROUND(D22*IF(INDEX(Programmes!$L$2:$L$10,MATCH(A22,Programmes!$A$2:$A$10,0))="",INDEX(Programmes!$K$2:$K$10,MATCH(A22,Programmes!$A$2:$A$10,0)),INDEX(Programmes!$L$2:$L$10,MATCH(A22,Programmes!$A$2:$A$10,0))),1),""))</f>
        <v>33</v>
      </c>
      <c r="J22" s="13" t="n">
        <f aca="false">IF(I22="","",IF(LOWER(E22)="auto",ROUND(I22*Rules!$C$8,1),IF(RIGHT(E22,1)="%",ROUND(I22*VALUE(LEFT(E22,LEN(E22)-1))/100,1),IF(RIGHT(LOWER(E22),2)="km",VALUE(LEFT(E22,LEN(E22)-2)),IF(LOWER(E22)="race","race",E22)))))</f>
        <v>9.9</v>
      </c>
    </row>
    <row r="23" customFormat="false" ht="15" hidden="false" customHeight="false" outlineLevel="0" collapsed="false">
      <c r="A23" s="12" t="s">
        <v>105</v>
      </c>
      <c r="B23" s="12" t="n">
        <v>10</v>
      </c>
      <c r="C23" s="12" t="s">
        <v>126</v>
      </c>
      <c r="D23" s="15" t="n">
        <v>1.1</v>
      </c>
      <c r="E23" s="12" t="s">
        <v>118</v>
      </c>
      <c r="F23" s="12" t="s">
        <v>119</v>
      </c>
      <c r="G23" s="12" t="s">
        <v>128</v>
      </c>
      <c r="H23" s="13" t="n">
        <f aca="false">IF(A23="","",COUNTIFS('Run sessions'!$A$2:$A$401,A23,'Run sessions'!$B$2:$B$401,B23))</f>
        <v>4</v>
      </c>
      <c r="I23" s="13" t="n">
        <f aca="false">IF(OR(A23="",D23=""),"",IFERROR(ROUND(D23*IF(INDEX(Programmes!$L$2:$L$10,MATCH(A23,Programmes!$A$2:$A$10,0))="",INDEX(Programmes!$K$2:$K$10,MATCH(A23,Programmes!$A$2:$A$10,0)),INDEX(Programmes!$L$2:$L$10,MATCH(A23,Programmes!$A$2:$A$10,0))),1),""))</f>
        <v>33</v>
      </c>
      <c r="J23" s="13" t="n">
        <f aca="false">IF(I23="","",IF(LOWER(E23)="auto",ROUND(I23*Rules!$C$8,1),IF(RIGHT(E23,1)="%",ROUND(I23*VALUE(LEFT(E23,LEN(E23)-1))/100,1),IF(RIGHT(LOWER(E23),2)="km",VALUE(LEFT(E23,LEN(E23)-2)),IF(LOWER(E23)="race","race",E23)))))</f>
        <v>9.9</v>
      </c>
    </row>
    <row r="24" customFormat="false" ht="15" hidden="false" customHeight="false" outlineLevel="0" collapsed="false">
      <c r="A24" s="12" t="s">
        <v>105</v>
      </c>
      <c r="B24" s="12" t="n">
        <v>11</v>
      </c>
      <c r="C24" s="12" t="s">
        <v>129</v>
      </c>
      <c r="D24" s="15" t="n">
        <v>0.8</v>
      </c>
      <c r="E24" s="12" t="s">
        <v>118</v>
      </c>
      <c r="F24" s="12" t="s">
        <v>123</v>
      </c>
      <c r="G24" s="12" t="s">
        <v>139</v>
      </c>
      <c r="H24" s="13" t="n">
        <f aca="false">IF(A24="","",COUNTIFS('Run sessions'!$A$2:$A$401,A24,'Run sessions'!$B$2:$B$401,B24))</f>
        <v>3</v>
      </c>
      <c r="I24" s="13" t="n">
        <f aca="false">IF(OR(A24="",D24=""),"",IFERROR(ROUND(D24*IF(INDEX(Programmes!$L$2:$L$10,MATCH(A24,Programmes!$A$2:$A$10,0))="",INDEX(Programmes!$K$2:$K$10,MATCH(A24,Programmes!$A$2:$A$10,0)),INDEX(Programmes!$L$2:$L$10,MATCH(A24,Programmes!$A$2:$A$10,0))),1),""))</f>
        <v>24</v>
      </c>
      <c r="J24" s="13" t="n">
        <f aca="false">IF(I24="","",IF(LOWER(E24)="auto",ROUND(I24*Rules!$C$8,1),IF(RIGHT(E24,1)="%",ROUND(I24*VALUE(LEFT(E24,LEN(E24)-1))/100,1),IF(RIGHT(LOWER(E24),2)="km",VALUE(LEFT(E24,LEN(E24)-2)),IF(LOWER(E24)="race","race",E24)))))</f>
        <v>7.2</v>
      </c>
    </row>
    <row r="25" customFormat="false" ht="15" hidden="false" customHeight="false" outlineLevel="0" collapsed="false">
      <c r="A25" s="12" t="s">
        <v>105</v>
      </c>
      <c r="B25" s="12" t="n">
        <v>12</v>
      </c>
      <c r="C25" s="12" t="s">
        <v>131</v>
      </c>
      <c r="D25" s="15" t="n">
        <v>0.5</v>
      </c>
      <c r="E25" s="12" t="s">
        <v>45</v>
      </c>
      <c r="F25" s="12" t="s">
        <v>132</v>
      </c>
      <c r="G25" s="12" t="s">
        <v>140</v>
      </c>
      <c r="H25" s="13" t="n">
        <f aca="false">IF(A25="","",COUNTIFS('Run sessions'!$A$2:$A$401,A25,'Run sessions'!$B$2:$B$401,B25))</f>
        <v>3</v>
      </c>
      <c r="I25" s="13" t="n">
        <f aca="false">IF(OR(A25="",D25=""),"",IFERROR(ROUND(D25*IF(INDEX(Programmes!$L$2:$L$10,MATCH(A25,Programmes!$A$2:$A$10,0))="",INDEX(Programmes!$K$2:$K$10,MATCH(A25,Programmes!$A$2:$A$10,0)),INDEX(Programmes!$L$2:$L$10,MATCH(A25,Programmes!$A$2:$A$10,0))),1),""))</f>
        <v>15</v>
      </c>
      <c r="J25" s="13" t="str">
        <f aca="false">IF(I25="","",IF(LOWER(E25)="auto",ROUND(I25*Rules!$C$8,1),IF(RIGHT(E25,1)="%",ROUND(I25*VALUE(LEFT(E25,LEN(E25)-1))/100,1),IF(RIGHT(LOWER(E25),2)="km",VALUE(LEFT(E25,LEN(E25)-2)),IF(LOWER(E25)="race","race",E25)))))</f>
        <v>race</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IF(OR(A26="",D26=""),"",IFERROR(ROUND(D26*IF(INDEX(Programmes!$L$2:$L$10,MATCH(A26,Programmes!$A$2:$A$10,0))="",INDEX(Programmes!$K$2:$K$10,MATCH(A26,Programmes!$A$2:$A$10,0)),INDEX(Programmes!$L$2:$L$10,MATCH(A26,Programmes!$A$2:$A$10,0))),1),""))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IF(OR(A27="",D27=""),"",IFERROR(ROUND(D27*IF(INDEX(Programmes!$L$2:$L$10,MATCH(A27,Programmes!$A$2:$A$10,0))="",INDEX(Programmes!$K$2:$K$10,MATCH(A27,Programmes!$A$2:$A$10,0)),INDEX(Programmes!$L$2:$L$10,MATCH(A27,Programmes!$A$2:$A$10,0))),1),""))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IF(OR(A28="",D28=""),"",IFERROR(ROUND(D28*IF(INDEX(Programmes!$L$2:$L$10,MATCH(A28,Programmes!$A$2:$A$10,0))="",INDEX(Programmes!$K$2:$K$10,MATCH(A28,Programmes!$A$2:$A$10,0)),INDEX(Programmes!$L$2:$L$10,MATCH(A28,Programmes!$A$2:$A$10,0))),1),""))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IF(OR(A29="",D29=""),"",IFERROR(ROUND(D29*IF(INDEX(Programmes!$L$2:$L$10,MATCH(A29,Programmes!$A$2:$A$10,0))="",INDEX(Programmes!$K$2:$K$10,MATCH(A29,Programmes!$A$2:$A$10,0)),INDEX(Programmes!$L$2:$L$10,MATCH(A29,Programmes!$A$2:$A$10,0))),1),""))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IF(OR(A30="",D30=""),"",IFERROR(ROUND(D30*IF(INDEX(Programmes!$L$2:$L$10,MATCH(A30,Programmes!$A$2:$A$10,0))="",INDEX(Programmes!$K$2:$K$10,MATCH(A30,Programmes!$A$2:$A$10,0)),INDEX(Programmes!$L$2:$L$10,MATCH(A30,Programmes!$A$2:$A$10,0))),1),""))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IF(OR(A31="",D31=""),"",IFERROR(ROUND(D31*IF(INDEX(Programmes!$L$2:$L$10,MATCH(A31,Programmes!$A$2:$A$10,0))="",INDEX(Programmes!$K$2:$K$10,MATCH(A31,Programmes!$A$2:$A$10,0)),INDEX(Programmes!$L$2:$L$10,MATCH(A31,Programmes!$A$2:$A$10,0))),1),""))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IF(OR(A32="",D32=""),"",IFERROR(ROUND(D32*IF(INDEX(Programmes!$L$2:$L$10,MATCH(A32,Programmes!$A$2:$A$10,0))="",INDEX(Programmes!$K$2:$K$10,MATCH(A32,Programmes!$A$2:$A$10,0)),INDEX(Programmes!$L$2:$L$10,MATCH(A32,Programmes!$A$2:$A$10,0))),1),""))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IF(OR(A33="",D33=""),"",IFERROR(ROUND(D33*IF(INDEX(Programmes!$L$2:$L$10,MATCH(A33,Programmes!$A$2:$A$10,0))="",INDEX(Programmes!$K$2:$K$10,MATCH(A33,Programmes!$A$2:$A$10,0)),INDEX(Programmes!$L$2:$L$10,MATCH(A33,Programmes!$A$2:$A$10,0))),1),""))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IF(OR(A34="",D34=""),"",IFERROR(ROUND(D34*IF(INDEX(Programmes!$L$2:$L$10,MATCH(A34,Programmes!$A$2:$A$10,0))="",INDEX(Programmes!$K$2:$K$10,MATCH(A34,Programmes!$A$2:$A$10,0)),INDEX(Programmes!$L$2:$L$10,MATCH(A34,Programmes!$A$2:$A$10,0))),1),""))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IF(OR(A35="",D35=""),"",IFERROR(ROUND(D35*IF(INDEX(Programmes!$L$2:$L$10,MATCH(A35,Programmes!$A$2:$A$10,0))="",INDEX(Programmes!$K$2:$K$10,MATCH(A35,Programmes!$A$2:$A$10,0)),INDEX(Programmes!$L$2:$L$10,MATCH(A35,Programmes!$A$2:$A$10,0))),1),""))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IF(OR(A36="",D36=""),"",IFERROR(ROUND(D36*IF(INDEX(Programmes!$L$2:$L$10,MATCH(A36,Programmes!$A$2:$A$10,0))="",INDEX(Programmes!$K$2:$K$10,MATCH(A36,Programmes!$A$2:$A$10,0)),INDEX(Programmes!$L$2:$L$10,MATCH(A36,Programmes!$A$2:$A$10,0))),1),""))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IF(OR(A37="",D37=""),"",IFERROR(ROUND(D37*IF(INDEX(Programmes!$L$2:$L$10,MATCH(A37,Programmes!$A$2:$A$10,0))="",INDEX(Programmes!$K$2:$K$10,MATCH(A37,Programmes!$A$2:$A$10,0)),INDEX(Programmes!$L$2:$L$10,MATCH(A37,Programmes!$A$2:$A$10,0))),1),""))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IF(OR(A38="",D38=""),"",IFERROR(ROUND(D38*IF(INDEX(Programmes!$L$2:$L$10,MATCH(A38,Programmes!$A$2:$A$10,0))="",INDEX(Programmes!$K$2:$K$10,MATCH(A38,Programmes!$A$2:$A$10,0)),INDEX(Programmes!$L$2:$L$10,MATCH(A38,Programmes!$A$2:$A$10,0))),1),""))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IF(OR(A39="",D39=""),"",IFERROR(ROUND(D39*IF(INDEX(Programmes!$L$2:$L$10,MATCH(A39,Programmes!$A$2:$A$10,0))="",INDEX(Programmes!$K$2:$K$10,MATCH(A39,Programmes!$A$2:$A$10,0)),INDEX(Programmes!$L$2:$L$10,MATCH(A39,Programmes!$A$2:$A$10,0))),1),""))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IF(OR(A40="",D40=""),"",IFERROR(ROUND(D40*IF(INDEX(Programmes!$L$2:$L$10,MATCH(A40,Programmes!$A$2:$A$10,0))="",INDEX(Programmes!$K$2:$K$10,MATCH(A40,Programmes!$A$2:$A$10,0)),INDEX(Programmes!$L$2:$L$10,MATCH(A40,Programmes!$A$2:$A$10,0))),1),""))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IF(OR(A41="",D41=""),"",IFERROR(ROUND(D41*IF(INDEX(Programmes!$L$2:$L$10,MATCH(A41,Programmes!$A$2:$A$10,0))="",INDEX(Programmes!$K$2:$K$10,MATCH(A41,Programmes!$A$2:$A$10,0)),INDEX(Programmes!$L$2:$L$10,MATCH(A41,Programmes!$A$2:$A$10,0))),1),""))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IF(OR(A42="",D42=""),"",IFERROR(ROUND(D42*IF(INDEX(Programmes!$L$2:$L$10,MATCH(A42,Programmes!$A$2:$A$10,0))="",INDEX(Programmes!$K$2:$K$10,MATCH(A42,Programmes!$A$2:$A$10,0)),INDEX(Programmes!$L$2:$L$10,MATCH(A42,Programmes!$A$2:$A$10,0))),1),""))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IF(OR(A43="",D43=""),"",IFERROR(ROUND(D43*IF(INDEX(Programmes!$L$2:$L$10,MATCH(A43,Programmes!$A$2:$A$10,0))="",INDEX(Programmes!$K$2:$K$10,MATCH(A43,Programmes!$A$2:$A$10,0)),INDEX(Programmes!$L$2:$L$10,MATCH(A43,Programmes!$A$2:$A$10,0))),1),""))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IF(OR(A44="",D44=""),"",IFERROR(ROUND(D44*IF(INDEX(Programmes!$L$2:$L$10,MATCH(A44,Programmes!$A$2:$A$10,0))="",INDEX(Programmes!$K$2:$K$10,MATCH(A44,Programmes!$A$2:$A$10,0)),INDEX(Programmes!$L$2:$L$10,MATCH(A44,Programmes!$A$2:$A$10,0))),1),""))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IF(OR(A45="",D45=""),"",IFERROR(ROUND(D45*IF(INDEX(Programmes!$L$2:$L$10,MATCH(A45,Programmes!$A$2:$A$10,0))="",INDEX(Programmes!$K$2:$K$10,MATCH(A45,Programmes!$A$2:$A$10,0)),INDEX(Programmes!$L$2:$L$10,MATCH(A45,Programmes!$A$2:$A$10,0))),1),""))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IF(OR(A46="",D46=""),"",IFERROR(ROUND(D46*IF(INDEX(Programmes!$L$2:$L$10,MATCH(A46,Programmes!$A$2:$A$10,0))="",INDEX(Programmes!$K$2:$K$10,MATCH(A46,Programmes!$A$2:$A$10,0)),INDEX(Programmes!$L$2:$L$10,MATCH(A46,Programmes!$A$2:$A$10,0))),1),""))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IF(OR(A47="",D47=""),"",IFERROR(ROUND(D47*IF(INDEX(Programmes!$L$2:$L$10,MATCH(A47,Programmes!$A$2:$A$10,0))="",INDEX(Programmes!$K$2:$K$10,MATCH(A47,Programmes!$A$2:$A$10,0)),INDEX(Programmes!$L$2:$L$10,MATCH(A47,Programmes!$A$2:$A$10,0))),1),""))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IF(OR(A48="",D48=""),"",IFERROR(ROUND(D48*IF(INDEX(Programmes!$L$2:$L$10,MATCH(A48,Programmes!$A$2:$A$10,0))="",INDEX(Programmes!$K$2:$K$10,MATCH(A48,Programmes!$A$2:$A$10,0)),INDEX(Programmes!$L$2:$L$10,MATCH(A48,Programmes!$A$2:$A$10,0))),1),""))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IF(OR(A49="",D49=""),"",IFERROR(ROUND(D49*IF(INDEX(Programmes!$L$2:$L$10,MATCH(A49,Programmes!$A$2:$A$10,0))="",INDEX(Programmes!$K$2:$K$10,MATCH(A49,Programmes!$A$2:$A$10,0)),INDEX(Programmes!$L$2:$L$10,MATCH(A49,Programmes!$A$2:$A$10,0))),1),""))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IF(OR(A50="",D50=""),"",IFERROR(ROUND(D50*IF(INDEX(Programmes!$L$2:$L$10,MATCH(A50,Programmes!$A$2:$A$10,0))="",INDEX(Programmes!$K$2:$K$10,MATCH(A50,Programmes!$A$2:$A$10,0)),INDEX(Programmes!$L$2:$L$10,MATCH(A50,Programmes!$A$2:$A$10,0))),1),""))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IF(OR(A51="",D51=""),"",IFERROR(ROUND(D51*IF(INDEX(Programmes!$L$2:$L$10,MATCH(A51,Programmes!$A$2:$A$10,0))="",INDEX(Programmes!$K$2:$K$10,MATCH(A51,Programmes!$A$2:$A$10,0)),INDEX(Programmes!$L$2:$L$10,MATCH(A51,Programmes!$A$2:$A$10,0))),1),""))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IF(OR(A52="",D52=""),"",IFERROR(ROUND(D52*IF(INDEX(Programmes!$L$2:$L$10,MATCH(A52,Programmes!$A$2:$A$10,0))="",INDEX(Programmes!$K$2:$K$10,MATCH(A52,Programmes!$A$2:$A$10,0)),INDEX(Programmes!$L$2:$L$10,MATCH(A52,Programmes!$A$2:$A$10,0))),1),""))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IF(OR(A53="",D53=""),"",IFERROR(ROUND(D53*IF(INDEX(Programmes!$L$2:$L$10,MATCH(A53,Programmes!$A$2:$A$10,0))="",INDEX(Programmes!$K$2:$K$10,MATCH(A53,Programmes!$A$2:$A$10,0)),INDEX(Programmes!$L$2:$L$10,MATCH(A53,Programmes!$A$2:$A$10,0))),1),""))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IF(OR(A54="",D54=""),"",IFERROR(ROUND(D54*IF(INDEX(Programmes!$L$2:$L$10,MATCH(A54,Programmes!$A$2:$A$10,0))="",INDEX(Programmes!$K$2:$K$10,MATCH(A54,Programmes!$A$2:$A$10,0)),INDEX(Programmes!$L$2:$L$10,MATCH(A54,Programmes!$A$2:$A$10,0))),1),""))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IF(OR(A55="",D55=""),"",IFERROR(ROUND(D55*IF(INDEX(Programmes!$L$2:$L$10,MATCH(A55,Programmes!$A$2:$A$10,0))="",INDEX(Programmes!$K$2:$K$10,MATCH(A55,Programmes!$A$2:$A$10,0)),INDEX(Programmes!$L$2:$L$10,MATCH(A55,Programmes!$A$2:$A$10,0))),1),""))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IF(OR(A56="",D56=""),"",IFERROR(ROUND(D56*IF(INDEX(Programmes!$L$2:$L$10,MATCH(A56,Programmes!$A$2:$A$10,0))="",INDEX(Programmes!$K$2:$K$10,MATCH(A56,Programmes!$A$2:$A$10,0)),INDEX(Programmes!$L$2:$L$10,MATCH(A56,Programmes!$A$2:$A$10,0))),1),""))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IF(OR(A57="",D57=""),"",IFERROR(ROUND(D57*IF(INDEX(Programmes!$L$2:$L$10,MATCH(A57,Programmes!$A$2:$A$10,0))="",INDEX(Programmes!$K$2:$K$10,MATCH(A57,Programmes!$A$2:$A$10,0)),INDEX(Programmes!$L$2:$L$10,MATCH(A57,Programmes!$A$2:$A$10,0))),1),""))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IF(OR(A58="",D58=""),"",IFERROR(ROUND(D58*IF(INDEX(Programmes!$L$2:$L$10,MATCH(A58,Programmes!$A$2:$A$10,0))="",INDEX(Programmes!$K$2:$K$10,MATCH(A58,Programmes!$A$2:$A$10,0)),INDEX(Programmes!$L$2:$L$10,MATCH(A58,Programmes!$A$2:$A$10,0))),1),""))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IF(OR(A59="",D59=""),"",IFERROR(ROUND(D59*IF(INDEX(Programmes!$L$2:$L$10,MATCH(A59,Programmes!$A$2:$A$10,0))="",INDEX(Programmes!$K$2:$K$10,MATCH(A59,Programmes!$A$2:$A$10,0)),INDEX(Programmes!$L$2:$L$10,MATCH(A59,Programmes!$A$2:$A$10,0))),1),""))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IF(OR(A60="",D60=""),"",IFERROR(ROUND(D60*IF(INDEX(Programmes!$L$2:$L$10,MATCH(A60,Programmes!$A$2:$A$10,0))="",INDEX(Programmes!$K$2:$K$10,MATCH(A60,Programmes!$A$2:$A$10,0)),INDEX(Programmes!$L$2:$L$10,MATCH(A60,Programmes!$A$2:$A$10,0))),1),""))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IF(OR(A61="",D61=""),"",IFERROR(ROUND(D61*IF(INDEX(Programmes!$L$2:$L$10,MATCH(A61,Programmes!$A$2:$A$10,0))="",INDEX(Programmes!$K$2:$K$10,MATCH(A61,Programmes!$A$2:$A$10,0)),INDEX(Programmes!$L$2:$L$10,MATCH(A61,Programmes!$A$2:$A$10,0))),1),""))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IF(OR(A62="",D62=""),"",IFERROR(ROUND(D62*IF(INDEX(Programmes!$L$2:$L$10,MATCH(A62,Programmes!$A$2:$A$10,0))="",INDEX(Programmes!$K$2:$K$10,MATCH(A62,Programmes!$A$2:$A$10,0)),INDEX(Programmes!$L$2:$L$10,MATCH(A62,Programmes!$A$2:$A$10,0))),1),""))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IF(OR(A63="",D63=""),"",IFERROR(ROUND(D63*IF(INDEX(Programmes!$L$2:$L$10,MATCH(A63,Programmes!$A$2:$A$10,0))="",INDEX(Programmes!$K$2:$K$10,MATCH(A63,Programmes!$A$2:$A$10,0)),INDEX(Programmes!$L$2:$L$10,MATCH(A63,Programmes!$A$2:$A$10,0))),1),""))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IF(OR(A64="",D64=""),"",IFERROR(ROUND(D64*IF(INDEX(Programmes!$L$2:$L$10,MATCH(A64,Programmes!$A$2:$A$10,0))="",INDEX(Programmes!$K$2:$K$10,MATCH(A64,Programmes!$A$2:$A$10,0)),INDEX(Programmes!$L$2:$L$10,MATCH(A64,Programmes!$A$2:$A$10,0))),1),""))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IF(OR(A65="",D65=""),"",IFERROR(ROUND(D65*IF(INDEX(Programmes!$L$2:$L$10,MATCH(A65,Programmes!$A$2:$A$10,0))="",INDEX(Programmes!$K$2:$K$10,MATCH(A65,Programmes!$A$2:$A$10,0)),INDEX(Programmes!$L$2:$L$10,MATCH(A65,Programmes!$A$2:$A$10,0))),1),""))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IF(OR(A66="",D66=""),"",IFERROR(ROUND(D66*IF(INDEX(Programmes!$L$2:$L$10,MATCH(A66,Programmes!$A$2:$A$10,0))="",INDEX(Programmes!$K$2:$K$10,MATCH(A66,Programmes!$A$2:$A$10,0)),INDEX(Programmes!$L$2:$L$10,MATCH(A66,Programmes!$A$2:$A$10,0))),1),""))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IF(OR(A67="",D67=""),"",IFERROR(ROUND(D67*IF(INDEX(Programmes!$L$2:$L$10,MATCH(A67,Programmes!$A$2:$A$10,0))="",INDEX(Programmes!$K$2:$K$10,MATCH(A67,Programmes!$A$2:$A$10,0)),INDEX(Programmes!$L$2:$L$10,MATCH(A67,Programmes!$A$2:$A$10,0))),1),""))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IF(OR(A68="",D68=""),"",IFERROR(ROUND(D68*IF(INDEX(Programmes!$L$2:$L$10,MATCH(A68,Programmes!$A$2:$A$10,0))="",INDEX(Programmes!$K$2:$K$10,MATCH(A68,Programmes!$A$2:$A$10,0)),INDEX(Programmes!$L$2:$L$10,MATCH(A68,Programmes!$A$2:$A$10,0))),1),""))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IF(OR(A69="",D69=""),"",IFERROR(ROUND(D69*IF(INDEX(Programmes!$L$2:$L$10,MATCH(A69,Programmes!$A$2:$A$10,0))="",INDEX(Programmes!$K$2:$K$10,MATCH(A69,Programmes!$A$2:$A$10,0)),INDEX(Programmes!$L$2:$L$10,MATCH(A69,Programmes!$A$2:$A$10,0))),1),""))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IF(OR(A70="",D70=""),"",IFERROR(ROUND(D70*IF(INDEX(Programmes!$L$2:$L$10,MATCH(A70,Programmes!$A$2:$A$10,0))="",INDEX(Programmes!$K$2:$K$10,MATCH(A70,Programmes!$A$2:$A$10,0)),INDEX(Programmes!$L$2:$L$10,MATCH(A70,Programmes!$A$2:$A$10,0))),1),""))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IF(OR(A71="",D71=""),"",IFERROR(ROUND(D71*IF(INDEX(Programmes!$L$2:$L$10,MATCH(A71,Programmes!$A$2:$A$10,0))="",INDEX(Programmes!$K$2:$K$10,MATCH(A71,Programmes!$A$2:$A$10,0)),INDEX(Programmes!$L$2:$L$10,MATCH(A71,Programmes!$A$2:$A$10,0))),1),""))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IF(OR(A72="",D72=""),"",IFERROR(ROUND(D72*IF(INDEX(Programmes!$L$2:$L$10,MATCH(A72,Programmes!$A$2:$A$10,0))="",INDEX(Programmes!$K$2:$K$10,MATCH(A72,Programmes!$A$2:$A$10,0)),INDEX(Programmes!$L$2:$L$10,MATCH(A72,Programmes!$A$2:$A$10,0))),1),""))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IF(OR(A73="",D73=""),"",IFERROR(ROUND(D73*IF(INDEX(Programmes!$L$2:$L$10,MATCH(A73,Programmes!$A$2:$A$10,0))="",INDEX(Programmes!$K$2:$K$10,MATCH(A73,Programmes!$A$2:$A$10,0)),INDEX(Programmes!$L$2:$L$10,MATCH(A73,Programmes!$A$2:$A$10,0))),1),""))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IF(OR(A74="",D74=""),"",IFERROR(ROUND(D74*IF(INDEX(Programmes!$L$2:$L$10,MATCH(A74,Programmes!$A$2:$A$10,0))="",INDEX(Programmes!$K$2:$K$10,MATCH(A74,Programmes!$A$2:$A$10,0)),INDEX(Programmes!$L$2:$L$10,MATCH(A74,Programmes!$A$2:$A$10,0))),1),""))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IF(OR(A75="",D75=""),"",IFERROR(ROUND(D75*IF(INDEX(Programmes!$L$2:$L$10,MATCH(A75,Programmes!$A$2:$A$10,0))="",INDEX(Programmes!$K$2:$K$10,MATCH(A75,Programmes!$A$2:$A$10,0)),INDEX(Programmes!$L$2:$L$10,MATCH(A75,Programmes!$A$2:$A$10,0))),1),""))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IF(OR(A76="",D76=""),"",IFERROR(ROUND(D76*IF(INDEX(Programmes!$L$2:$L$10,MATCH(A76,Programmes!$A$2:$A$10,0))="",INDEX(Programmes!$K$2:$K$10,MATCH(A76,Programmes!$A$2:$A$10,0)),INDEX(Programmes!$L$2:$L$10,MATCH(A76,Programmes!$A$2:$A$10,0))),1),""))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IF(OR(A77="",D77=""),"",IFERROR(ROUND(D77*IF(INDEX(Programmes!$L$2:$L$10,MATCH(A77,Programmes!$A$2:$A$10,0))="",INDEX(Programmes!$K$2:$K$10,MATCH(A77,Programmes!$A$2:$A$10,0)),INDEX(Programmes!$L$2:$L$10,MATCH(A77,Programmes!$A$2:$A$10,0))),1),""))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IF(OR(A78="",D78=""),"",IFERROR(ROUND(D78*IF(INDEX(Programmes!$L$2:$L$10,MATCH(A78,Programmes!$A$2:$A$10,0))="",INDEX(Programmes!$K$2:$K$10,MATCH(A78,Programmes!$A$2:$A$10,0)),INDEX(Programmes!$L$2:$L$10,MATCH(A78,Programmes!$A$2:$A$10,0))),1),""))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IF(OR(A79="",D79=""),"",IFERROR(ROUND(D79*IF(INDEX(Programmes!$L$2:$L$10,MATCH(A79,Programmes!$A$2:$A$10,0))="",INDEX(Programmes!$K$2:$K$10,MATCH(A79,Programmes!$A$2:$A$10,0)),INDEX(Programmes!$L$2:$L$10,MATCH(A79,Programmes!$A$2:$A$10,0))),1),""))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IF(OR(A80="",D80=""),"",IFERROR(ROUND(D80*IF(INDEX(Programmes!$L$2:$L$10,MATCH(A80,Programmes!$A$2:$A$10,0))="",INDEX(Programmes!$K$2:$K$10,MATCH(A80,Programmes!$A$2:$A$10,0)),INDEX(Programmes!$L$2:$L$10,MATCH(A80,Programmes!$A$2:$A$10,0))),1),""))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IF(OR(A81="",D81=""),"",IFERROR(ROUND(D81*IF(INDEX(Programmes!$L$2:$L$10,MATCH(A81,Programmes!$A$2:$A$10,0))="",INDEX(Programmes!$K$2:$K$10,MATCH(A81,Programmes!$A$2:$A$10,0)),INDEX(Programmes!$L$2:$L$10,MATCH(A81,Programmes!$A$2:$A$10,0))),1),""))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IF(OR(A82="",D82=""),"",IFERROR(ROUND(D82*IF(INDEX(Programmes!$L$2:$L$10,MATCH(A82,Programmes!$A$2:$A$10,0))="",INDEX(Programmes!$K$2:$K$10,MATCH(A82,Programmes!$A$2:$A$10,0)),INDEX(Programmes!$L$2:$L$10,MATCH(A82,Programmes!$A$2:$A$10,0))),1),""))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IF(OR(A83="",D83=""),"",IFERROR(ROUND(D83*IF(INDEX(Programmes!$L$2:$L$10,MATCH(A83,Programmes!$A$2:$A$10,0))="",INDEX(Programmes!$K$2:$K$10,MATCH(A83,Programmes!$A$2:$A$10,0)),INDEX(Programmes!$L$2:$L$10,MATCH(A83,Programmes!$A$2:$A$10,0))),1),""))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IF(OR(A84="",D84=""),"",IFERROR(ROUND(D84*IF(INDEX(Programmes!$L$2:$L$10,MATCH(A84,Programmes!$A$2:$A$10,0))="",INDEX(Programmes!$K$2:$K$10,MATCH(A84,Programmes!$A$2:$A$10,0)),INDEX(Programmes!$L$2:$L$10,MATCH(A84,Programmes!$A$2:$A$10,0))),1),""))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IF(OR(A85="",D85=""),"",IFERROR(ROUND(D85*IF(INDEX(Programmes!$L$2:$L$10,MATCH(A85,Programmes!$A$2:$A$10,0))="",INDEX(Programmes!$K$2:$K$10,MATCH(A85,Programmes!$A$2:$A$10,0)),INDEX(Programmes!$L$2:$L$10,MATCH(A85,Programmes!$A$2:$A$10,0))),1),""))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IF(OR(A86="",D86=""),"",IFERROR(ROUND(D86*IF(INDEX(Programmes!$L$2:$L$10,MATCH(A86,Programmes!$A$2:$A$10,0))="",INDEX(Programmes!$K$2:$K$10,MATCH(A86,Programmes!$A$2:$A$10,0)),INDEX(Programmes!$L$2:$L$10,MATCH(A86,Programmes!$A$2:$A$10,0))),1),""))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IF(OR(A87="",D87=""),"",IFERROR(ROUND(D87*IF(INDEX(Programmes!$L$2:$L$10,MATCH(A87,Programmes!$A$2:$A$10,0))="",INDEX(Programmes!$K$2:$K$10,MATCH(A87,Programmes!$A$2:$A$10,0)),INDEX(Programmes!$L$2:$L$10,MATCH(A87,Programmes!$A$2:$A$10,0))),1),""))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IF(OR(A88="",D88=""),"",IFERROR(ROUND(D88*IF(INDEX(Programmes!$L$2:$L$10,MATCH(A88,Programmes!$A$2:$A$10,0))="",INDEX(Programmes!$K$2:$K$10,MATCH(A88,Programmes!$A$2:$A$10,0)),INDEX(Programmes!$L$2:$L$10,MATCH(A88,Programmes!$A$2:$A$10,0))),1),""))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IF(OR(A89="",D89=""),"",IFERROR(ROUND(D89*IF(INDEX(Programmes!$L$2:$L$10,MATCH(A89,Programmes!$A$2:$A$10,0))="",INDEX(Programmes!$K$2:$K$10,MATCH(A89,Programmes!$A$2:$A$10,0)),INDEX(Programmes!$L$2:$L$10,MATCH(A89,Programmes!$A$2:$A$10,0))),1),""))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IF(OR(A90="",D90=""),"",IFERROR(ROUND(D90*IF(INDEX(Programmes!$L$2:$L$10,MATCH(A90,Programmes!$A$2:$A$10,0))="",INDEX(Programmes!$K$2:$K$10,MATCH(A90,Programmes!$A$2:$A$10,0)),INDEX(Programmes!$L$2:$L$10,MATCH(A90,Programmes!$A$2:$A$10,0))),1),""))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IF(OR(A91="",D91=""),"",IFERROR(ROUND(D91*IF(INDEX(Programmes!$L$2:$L$10,MATCH(A91,Programmes!$A$2:$A$10,0))="",INDEX(Programmes!$K$2:$K$10,MATCH(A91,Programmes!$A$2:$A$10,0)),INDEX(Programmes!$L$2:$L$10,MATCH(A91,Programmes!$A$2:$A$10,0))),1),""))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IF(OR(A92="",D92=""),"",IFERROR(ROUND(D92*IF(INDEX(Programmes!$L$2:$L$10,MATCH(A92,Programmes!$A$2:$A$10,0))="",INDEX(Programmes!$K$2:$K$10,MATCH(A92,Programmes!$A$2:$A$10,0)),INDEX(Programmes!$L$2:$L$10,MATCH(A92,Programmes!$A$2:$A$10,0))),1),""))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IF(OR(A93="",D93=""),"",IFERROR(ROUND(D93*IF(INDEX(Programmes!$L$2:$L$10,MATCH(A93,Programmes!$A$2:$A$10,0))="",INDEX(Programmes!$K$2:$K$10,MATCH(A93,Programmes!$A$2:$A$10,0)),INDEX(Programmes!$L$2:$L$10,MATCH(A93,Programmes!$A$2:$A$10,0))),1),""))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IF(OR(A94="",D94=""),"",IFERROR(ROUND(D94*IF(INDEX(Programmes!$L$2:$L$10,MATCH(A94,Programmes!$A$2:$A$10,0))="",INDEX(Programmes!$K$2:$K$10,MATCH(A94,Programmes!$A$2:$A$10,0)),INDEX(Programmes!$L$2:$L$10,MATCH(A94,Programmes!$A$2:$A$10,0))),1),""))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IF(OR(A95="",D95=""),"",IFERROR(ROUND(D95*IF(INDEX(Programmes!$L$2:$L$10,MATCH(A95,Programmes!$A$2:$A$10,0))="",INDEX(Programmes!$K$2:$K$10,MATCH(A95,Programmes!$A$2:$A$10,0)),INDEX(Programmes!$L$2:$L$10,MATCH(A95,Programmes!$A$2:$A$10,0))),1),""))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IF(OR(A96="",D96=""),"",IFERROR(ROUND(D96*IF(INDEX(Programmes!$L$2:$L$10,MATCH(A96,Programmes!$A$2:$A$10,0))="",INDEX(Programmes!$K$2:$K$10,MATCH(A96,Programmes!$A$2:$A$10,0)),INDEX(Programmes!$L$2:$L$10,MATCH(A96,Programmes!$A$2:$A$10,0))),1),""))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IF(OR(A97="",D97=""),"",IFERROR(ROUND(D97*IF(INDEX(Programmes!$L$2:$L$10,MATCH(A97,Programmes!$A$2:$A$10,0))="",INDEX(Programmes!$K$2:$K$10,MATCH(A97,Programmes!$A$2:$A$10,0)),INDEX(Programmes!$L$2:$L$10,MATCH(A97,Programmes!$A$2:$A$10,0))),1),""))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IF(OR(A98="",D98=""),"",IFERROR(ROUND(D98*IF(INDEX(Programmes!$L$2:$L$10,MATCH(A98,Programmes!$A$2:$A$10,0))="",INDEX(Programmes!$K$2:$K$10,MATCH(A98,Programmes!$A$2:$A$10,0)),INDEX(Programmes!$L$2:$L$10,MATCH(A98,Programmes!$A$2:$A$10,0))),1),""))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IF(OR(A99="",D99=""),"",IFERROR(ROUND(D99*IF(INDEX(Programmes!$L$2:$L$10,MATCH(A99,Programmes!$A$2:$A$10,0))="",INDEX(Programmes!$K$2:$K$10,MATCH(A99,Programmes!$A$2:$A$10,0)),INDEX(Programmes!$L$2:$L$10,MATCH(A99,Programmes!$A$2:$A$10,0))),1),""))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IF(OR(A100="",D100=""),"",IFERROR(ROUND(D100*IF(INDEX(Programmes!$L$2:$L$10,MATCH(A100,Programmes!$A$2:$A$10,0))="",INDEX(Programmes!$K$2:$K$10,MATCH(A100,Programmes!$A$2:$A$10,0)),INDEX(Programmes!$L$2:$L$10,MATCH(A100,Programmes!$A$2:$A$10,0))),1),""))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IF(OR(A101="",D101=""),"",IFERROR(ROUND(D101*IF(INDEX(Programmes!$L$2:$L$10,MATCH(A101,Programmes!$A$2:$A$10,0))="",INDEX(Programmes!$K$2:$K$10,MATCH(A101,Programmes!$A$2:$A$10,0)),INDEX(Programmes!$L$2:$L$10,MATCH(A101,Programmes!$A$2:$A$10,0))),1),""))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IF(OR(A102="",D102=""),"",IFERROR(ROUND(D102*IF(INDEX(Programmes!$L$2:$L$10,MATCH(A102,Programmes!$A$2:$A$10,0))="",INDEX(Programmes!$K$2:$K$10,MATCH(A102,Programmes!$A$2:$A$10,0)),INDEX(Programmes!$L$2:$L$10,MATCH(A102,Programmes!$A$2:$A$10,0))),1),""))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IF(OR(A103="",D103=""),"",IFERROR(ROUND(D103*IF(INDEX(Programmes!$L$2:$L$10,MATCH(A103,Programmes!$A$2:$A$10,0))="",INDEX(Programmes!$K$2:$K$10,MATCH(A103,Programmes!$A$2:$A$10,0)),INDEX(Programmes!$L$2:$L$10,MATCH(A103,Programmes!$A$2:$A$10,0))),1),""))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IF(OR(A104="",D104=""),"",IFERROR(ROUND(D104*IF(INDEX(Programmes!$L$2:$L$10,MATCH(A104,Programmes!$A$2:$A$10,0))="",INDEX(Programmes!$K$2:$K$10,MATCH(A104,Programmes!$A$2:$A$10,0)),INDEX(Programmes!$L$2:$L$10,MATCH(A104,Programmes!$A$2:$A$10,0))),1),""))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IF(OR(A105="",D105=""),"",IFERROR(ROUND(D105*IF(INDEX(Programmes!$L$2:$L$10,MATCH(A105,Programmes!$A$2:$A$10,0))="",INDEX(Programmes!$K$2:$K$10,MATCH(A105,Programmes!$A$2:$A$10,0)),INDEX(Programmes!$L$2:$L$10,MATCH(A105,Programmes!$A$2:$A$10,0))),1),""))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IF(OR(A106="",D106=""),"",IFERROR(ROUND(D106*IF(INDEX(Programmes!$L$2:$L$10,MATCH(A106,Programmes!$A$2:$A$10,0))="",INDEX(Programmes!$K$2:$K$10,MATCH(A106,Programmes!$A$2:$A$10,0)),INDEX(Programmes!$L$2:$L$10,MATCH(A106,Programmes!$A$2:$A$10,0))),1),""))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IF(OR(A107="",D107=""),"",IFERROR(ROUND(D107*IF(INDEX(Programmes!$L$2:$L$10,MATCH(A107,Programmes!$A$2:$A$10,0))="",INDEX(Programmes!$K$2:$K$10,MATCH(A107,Programmes!$A$2:$A$10,0)),INDEX(Programmes!$L$2:$L$10,MATCH(A107,Programmes!$A$2:$A$10,0))),1),""))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IF(OR(A108="",D108=""),"",IFERROR(ROUND(D108*IF(INDEX(Programmes!$L$2:$L$10,MATCH(A108,Programmes!$A$2:$A$10,0))="",INDEX(Programmes!$K$2:$K$10,MATCH(A108,Programmes!$A$2:$A$10,0)),INDEX(Programmes!$L$2:$L$10,MATCH(A108,Programmes!$A$2:$A$10,0))),1),""))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IF(OR(A109="",D109=""),"",IFERROR(ROUND(D109*IF(INDEX(Programmes!$L$2:$L$10,MATCH(A109,Programmes!$A$2:$A$10,0))="",INDEX(Programmes!$K$2:$K$10,MATCH(A109,Programmes!$A$2:$A$10,0)),INDEX(Programmes!$L$2:$L$10,MATCH(A109,Programmes!$A$2:$A$10,0))),1),""))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IF(OR(A110="",D110=""),"",IFERROR(ROUND(D110*IF(INDEX(Programmes!$L$2:$L$10,MATCH(A110,Programmes!$A$2:$A$10,0))="",INDEX(Programmes!$K$2:$K$10,MATCH(A110,Programmes!$A$2:$A$10,0)),INDEX(Programmes!$L$2:$L$10,MATCH(A110,Programmes!$A$2:$A$10,0))),1),""))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IF(OR(A111="",D111=""),"",IFERROR(ROUND(D111*IF(INDEX(Programmes!$L$2:$L$10,MATCH(A111,Programmes!$A$2:$A$10,0))="",INDEX(Programmes!$K$2:$K$10,MATCH(A111,Programmes!$A$2:$A$10,0)),INDEX(Programmes!$L$2:$L$10,MATCH(A111,Programmes!$A$2:$A$10,0))),1),""))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IF(OR(A112="",D112=""),"",IFERROR(ROUND(D112*IF(INDEX(Programmes!$L$2:$L$10,MATCH(A112,Programmes!$A$2:$A$10,0))="",INDEX(Programmes!$K$2:$K$10,MATCH(A112,Programmes!$A$2:$A$10,0)),INDEX(Programmes!$L$2:$L$10,MATCH(A112,Programmes!$A$2:$A$10,0))),1),""))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IF(OR(A113="",D113=""),"",IFERROR(ROUND(D113*IF(INDEX(Programmes!$L$2:$L$10,MATCH(A113,Programmes!$A$2:$A$10,0))="",INDEX(Programmes!$K$2:$K$10,MATCH(A113,Programmes!$A$2:$A$10,0)),INDEX(Programmes!$L$2:$L$10,MATCH(A113,Programmes!$A$2:$A$10,0))),1),""))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IF(OR(A114="",D114=""),"",IFERROR(ROUND(D114*IF(INDEX(Programmes!$L$2:$L$10,MATCH(A114,Programmes!$A$2:$A$10,0))="",INDEX(Programmes!$K$2:$K$10,MATCH(A114,Programmes!$A$2:$A$10,0)),INDEX(Programmes!$L$2:$L$10,MATCH(A114,Programmes!$A$2:$A$10,0))),1),""))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IF(OR(A115="",D115=""),"",IFERROR(ROUND(D115*IF(INDEX(Programmes!$L$2:$L$10,MATCH(A115,Programmes!$A$2:$A$10,0))="",INDEX(Programmes!$K$2:$K$10,MATCH(A115,Programmes!$A$2:$A$10,0)),INDEX(Programmes!$L$2:$L$10,MATCH(A115,Programmes!$A$2:$A$10,0))),1),""))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IF(OR(A116="",D116=""),"",IFERROR(ROUND(D116*IF(INDEX(Programmes!$L$2:$L$10,MATCH(A116,Programmes!$A$2:$A$10,0))="",INDEX(Programmes!$K$2:$K$10,MATCH(A116,Programmes!$A$2:$A$10,0)),INDEX(Programmes!$L$2:$L$10,MATCH(A116,Programmes!$A$2:$A$10,0))),1),""))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IF(OR(A117="",D117=""),"",IFERROR(ROUND(D117*IF(INDEX(Programmes!$L$2:$L$10,MATCH(A117,Programmes!$A$2:$A$10,0))="",INDEX(Programmes!$K$2:$K$10,MATCH(A117,Programmes!$A$2:$A$10,0)),INDEX(Programmes!$L$2:$L$10,MATCH(A117,Programmes!$A$2:$A$10,0))),1),""))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IF(OR(A118="",D118=""),"",IFERROR(ROUND(D118*IF(INDEX(Programmes!$L$2:$L$10,MATCH(A118,Programmes!$A$2:$A$10,0))="",INDEX(Programmes!$K$2:$K$10,MATCH(A118,Programmes!$A$2:$A$10,0)),INDEX(Programmes!$L$2:$L$10,MATCH(A118,Programmes!$A$2:$A$10,0))),1),""))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IF(OR(A119="",D119=""),"",IFERROR(ROUND(D119*IF(INDEX(Programmes!$L$2:$L$10,MATCH(A119,Programmes!$A$2:$A$10,0))="",INDEX(Programmes!$K$2:$K$10,MATCH(A119,Programmes!$A$2:$A$10,0)),INDEX(Programmes!$L$2:$L$10,MATCH(A119,Programmes!$A$2:$A$10,0))),1),""))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IF(OR(A120="",D120=""),"",IFERROR(ROUND(D120*IF(INDEX(Programmes!$L$2:$L$10,MATCH(A120,Programmes!$A$2:$A$10,0))="",INDEX(Programmes!$K$2:$K$10,MATCH(A120,Programmes!$A$2:$A$10,0)),INDEX(Programmes!$L$2:$L$10,MATCH(A120,Programmes!$A$2:$A$10,0))),1),""))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IF(OR(A121="",D121=""),"",IFERROR(ROUND(D121*IF(INDEX(Programmes!$L$2:$L$10,MATCH(A121,Programmes!$A$2:$A$10,0))="",INDEX(Programmes!$K$2:$K$10,MATCH(A121,Programmes!$A$2:$A$10,0)),INDEX(Programmes!$L$2:$L$10,MATCH(A121,Programmes!$A$2:$A$10,0))),1),""))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IF(OR(A122="",D122=""),"",IFERROR(ROUND(D122*IF(INDEX(Programmes!$L$2:$L$10,MATCH(A122,Programmes!$A$2:$A$10,0))="",INDEX(Programmes!$K$2:$K$10,MATCH(A122,Programmes!$A$2:$A$10,0)),INDEX(Programmes!$L$2:$L$10,MATCH(A122,Programmes!$A$2:$A$10,0))),1),""))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IF(OR(A123="",D123=""),"",IFERROR(ROUND(D123*IF(INDEX(Programmes!$L$2:$L$10,MATCH(A123,Programmes!$A$2:$A$10,0))="",INDEX(Programmes!$K$2:$K$10,MATCH(A123,Programmes!$A$2:$A$10,0)),INDEX(Programmes!$L$2:$L$10,MATCH(A123,Programmes!$A$2:$A$10,0))),1),""))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IF(OR(A124="",D124=""),"",IFERROR(ROUND(D124*IF(INDEX(Programmes!$L$2:$L$10,MATCH(A124,Programmes!$A$2:$A$10,0))="",INDEX(Programmes!$K$2:$K$10,MATCH(A124,Programmes!$A$2:$A$10,0)),INDEX(Programmes!$L$2:$L$10,MATCH(A124,Programmes!$A$2:$A$10,0))),1),""))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IF(OR(A125="",D125=""),"",IFERROR(ROUND(D125*IF(INDEX(Programmes!$L$2:$L$10,MATCH(A125,Programmes!$A$2:$A$10,0))="",INDEX(Programmes!$K$2:$K$10,MATCH(A125,Programmes!$A$2:$A$10,0)),INDEX(Programmes!$L$2:$L$10,MATCH(A125,Programmes!$A$2:$A$10,0))),1),""))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IF(OR(A126="",D126=""),"",IFERROR(ROUND(D126*IF(INDEX(Programmes!$L$2:$L$10,MATCH(A126,Programmes!$A$2:$A$10,0))="",INDEX(Programmes!$K$2:$K$10,MATCH(A126,Programmes!$A$2:$A$10,0)),INDEX(Programmes!$L$2:$L$10,MATCH(A126,Programmes!$A$2:$A$10,0))),1),""))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IF(OR(A127="",D127=""),"",IFERROR(ROUND(D127*IF(INDEX(Programmes!$L$2:$L$10,MATCH(A127,Programmes!$A$2:$A$10,0))="",INDEX(Programmes!$K$2:$K$10,MATCH(A127,Programmes!$A$2:$A$10,0)),INDEX(Programmes!$L$2:$L$10,MATCH(A127,Programmes!$A$2:$A$10,0))),1),""))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IF(OR(A128="",D128=""),"",IFERROR(ROUND(D128*IF(INDEX(Programmes!$L$2:$L$10,MATCH(A128,Programmes!$A$2:$A$10,0))="",INDEX(Programmes!$K$2:$K$10,MATCH(A128,Programmes!$A$2:$A$10,0)),INDEX(Programmes!$L$2:$L$10,MATCH(A128,Programmes!$A$2:$A$10,0))),1),""))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IF(OR(A129="",D129=""),"",IFERROR(ROUND(D129*IF(INDEX(Programmes!$L$2:$L$10,MATCH(A129,Programmes!$A$2:$A$10,0))="",INDEX(Programmes!$K$2:$K$10,MATCH(A129,Programmes!$A$2:$A$10,0)),INDEX(Programmes!$L$2:$L$10,MATCH(A129,Programmes!$A$2:$A$10,0))),1),""))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IF(OR(A130="",D130=""),"",IFERROR(ROUND(D130*IF(INDEX(Programmes!$L$2:$L$10,MATCH(A130,Programmes!$A$2:$A$10,0))="",INDEX(Programmes!$K$2:$K$10,MATCH(A130,Programmes!$A$2:$A$10,0)),INDEX(Programmes!$L$2:$L$10,MATCH(A130,Programmes!$A$2:$A$10,0))),1),""))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IF(OR(A131="",D131=""),"",IFERROR(ROUND(D131*IF(INDEX(Programmes!$L$2:$L$10,MATCH(A131,Programmes!$A$2:$A$10,0))="",INDEX(Programmes!$K$2:$K$10,MATCH(A131,Programmes!$A$2:$A$10,0)),INDEX(Programmes!$L$2:$L$10,MATCH(A131,Programmes!$A$2:$A$10,0))),1),""))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IF(OR(A132="",D132=""),"",IFERROR(ROUND(D132*IF(INDEX(Programmes!$L$2:$L$10,MATCH(A132,Programmes!$A$2:$A$10,0))="",INDEX(Programmes!$K$2:$K$10,MATCH(A132,Programmes!$A$2:$A$10,0)),INDEX(Programmes!$L$2:$L$10,MATCH(A132,Programmes!$A$2:$A$10,0))),1),""))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IF(OR(A133="",D133=""),"",IFERROR(ROUND(D133*IF(INDEX(Programmes!$L$2:$L$10,MATCH(A133,Programmes!$A$2:$A$10,0))="",INDEX(Programmes!$K$2:$K$10,MATCH(A133,Programmes!$A$2:$A$10,0)),INDEX(Programmes!$L$2:$L$10,MATCH(A133,Programmes!$A$2:$A$10,0))),1),""))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IF(OR(A134="",D134=""),"",IFERROR(ROUND(D134*IF(INDEX(Programmes!$L$2:$L$10,MATCH(A134,Programmes!$A$2:$A$10,0))="",INDEX(Programmes!$K$2:$K$10,MATCH(A134,Programmes!$A$2:$A$10,0)),INDEX(Programmes!$L$2:$L$10,MATCH(A134,Programmes!$A$2:$A$10,0))),1),""))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IF(OR(A135="",D135=""),"",IFERROR(ROUND(D135*IF(INDEX(Programmes!$L$2:$L$10,MATCH(A135,Programmes!$A$2:$A$10,0))="",INDEX(Programmes!$K$2:$K$10,MATCH(A135,Programmes!$A$2:$A$10,0)),INDEX(Programmes!$L$2:$L$10,MATCH(A135,Programmes!$A$2:$A$10,0))),1),""))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IF(OR(A136="",D136=""),"",IFERROR(ROUND(D136*IF(INDEX(Programmes!$L$2:$L$10,MATCH(A136,Programmes!$A$2:$A$10,0))="",INDEX(Programmes!$K$2:$K$10,MATCH(A136,Programmes!$A$2:$A$10,0)),INDEX(Programmes!$L$2:$L$10,MATCH(A136,Programmes!$A$2:$A$10,0))),1),""))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IF(OR(A137="",D137=""),"",IFERROR(ROUND(D137*IF(INDEX(Programmes!$L$2:$L$10,MATCH(A137,Programmes!$A$2:$A$10,0))="",INDEX(Programmes!$K$2:$K$10,MATCH(A137,Programmes!$A$2:$A$10,0)),INDEX(Programmes!$L$2:$L$10,MATCH(A137,Programmes!$A$2:$A$10,0))),1),""))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IF(OR(A138="",D138=""),"",IFERROR(ROUND(D138*IF(INDEX(Programmes!$L$2:$L$10,MATCH(A138,Programmes!$A$2:$A$10,0))="",INDEX(Programmes!$K$2:$K$10,MATCH(A138,Programmes!$A$2:$A$10,0)),INDEX(Programmes!$L$2:$L$10,MATCH(A138,Programmes!$A$2:$A$10,0))),1),""))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IF(OR(A139="",D139=""),"",IFERROR(ROUND(D139*IF(INDEX(Programmes!$L$2:$L$10,MATCH(A139,Programmes!$A$2:$A$10,0))="",INDEX(Programmes!$K$2:$K$10,MATCH(A139,Programmes!$A$2:$A$10,0)),INDEX(Programmes!$L$2:$L$10,MATCH(A139,Programmes!$A$2:$A$10,0))),1),""))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IF(OR(A140="",D140=""),"",IFERROR(ROUND(D140*IF(INDEX(Programmes!$L$2:$L$10,MATCH(A140,Programmes!$A$2:$A$10,0))="",INDEX(Programmes!$K$2:$K$10,MATCH(A140,Programmes!$A$2:$A$10,0)),INDEX(Programmes!$L$2:$L$10,MATCH(A140,Programmes!$A$2:$A$10,0))),1),""))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IF(OR(A141="",D141=""),"",IFERROR(ROUND(D141*IF(INDEX(Programmes!$L$2:$L$10,MATCH(A141,Programmes!$A$2:$A$10,0))="",INDEX(Programmes!$K$2:$K$10,MATCH(A141,Programmes!$A$2:$A$10,0)),INDEX(Programmes!$L$2:$L$10,MATCH(A141,Programmes!$A$2:$A$10,0))),1),""))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IF(OR(A142="",D142=""),"",IFERROR(ROUND(D142*IF(INDEX(Programmes!$L$2:$L$10,MATCH(A142,Programmes!$A$2:$A$10,0))="",INDEX(Programmes!$K$2:$K$10,MATCH(A142,Programmes!$A$2:$A$10,0)),INDEX(Programmes!$L$2:$L$10,MATCH(A142,Programmes!$A$2:$A$10,0))),1),""))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IF(OR(A143="",D143=""),"",IFERROR(ROUND(D143*IF(INDEX(Programmes!$L$2:$L$10,MATCH(A143,Programmes!$A$2:$A$10,0))="",INDEX(Programmes!$K$2:$K$10,MATCH(A143,Programmes!$A$2:$A$10,0)),INDEX(Programmes!$L$2:$L$10,MATCH(A143,Programmes!$A$2:$A$10,0))),1),""))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IF(OR(A144="",D144=""),"",IFERROR(ROUND(D144*IF(INDEX(Programmes!$L$2:$L$10,MATCH(A144,Programmes!$A$2:$A$10,0))="",INDEX(Programmes!$K$2:$K$10,MATCH(A144,Programmes!$A$2:$A$10,0)),INDEX(Programmes!$L$2:$L$10,MATCH(A144,Programmes!$A$2:$A$10,0))),1),""))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IF(OR(A145="",D145=""),"",IFERROR(ROUND(D145*IF(INDEX(Programmes!$L$2:$L$10,MATCH(A145,Programmes!$A$2:$A$10,0))="",INDEX(Programmes!$K$2:$K$10,MATCH(A145,Programmes!$A$2:$A$10,0)),INDEX(Programmes!$L$2:$L$10,MATCH(A145,Programmes!$A$2:$A$10,0))),1),""))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IF(OR(A146="",D146=""),"",IFERROR(ROUND(D146*IF(INDEX(Programmes!$L$2:$L$10,MATCH(A146,Programmes!$A$2:$A$10,0))="",INDEX(Programmes!$K$2:$K$10,MATCH(A146,Programmes!$A$2:$A$10,0)),INDEX(Programmes!$L$2:$L$10,MATCH(A146,Programmes!$A$2:$A$10,0))),1),""))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IF(OR(A147="",D147=""),"",IFERROR(ROUND(D147*IF(INDEX(Programmes!$L$2:$L$10,MATCH(A147,Programmes!$A$2:$A$10,0))="",INDEX(Programmes!$K$2:$K$10,MATCH(A147,Programmes!$A$2:$A$10,0)),INDEX(Programmes!$L$2:$L$10,MATCH(A147,Programmes!$A$2:$A$10,0))),1),""))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IF(OR(A148="",D148=""),"",IFERROR(ROUND(D148*IF(INDEX(Programmes!$L$2:$L$10,MATCH(A148,Programmes!$A$2:$A$10,0))="",INDEX(Programmes!$K$2:$K$10,MATCH(A148,Programmes!$A$2:$A$10,0)),INDEX(Programmes!$L$2:$L$10,MATCH(A148,Programmes!$A$2:$A$10,0))),1),""))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IF(OR(A149="",D149=""),"",IFERROR(ROUND(D149*IF(INDEX(Programmes!$L$2:$L$10,MATCH(A149,Programmes!$A$2:$A$10,0))="",INDEX(Programmes!$K$2:$K$10,MATCH(A149,Programmes!$A$2:$A$10,0)),INDEX(Programmes!$L$2:$L$10,MATCH(A149,Programmes!$A$2:$A$10,0))),1),""))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IF(OR(A150="",D150=""),"",IFERROR(ROUND(D150*IF(INDEX(Programmes!$L$2:$L$10,MATCH(A150,Programmes!$A$2:$A$10,0))="",INDEX(Programmes!$K$2:$K$10,MATCH(A150,Programmes!$A$2:$A$10,0)),INDEX(Programmes!$L$2:$L$10,MATCH(A150,Programmes!$A$2:$A$10,0))),1),""))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IF(OR(A151="",D151=""),"",IFERROR(ROUND(D151*IF(INDEX(Programmes!$L$2:$L$10,MATCH(A151,Programmes!$A$2:$A$10,0))="",INDEX(Programmes!$K$2:$K$10,MATCH(A151,Programmes!$A$2:$A$10,0)),INDEX(Programmes!$L$2:$L$10,MATCH(A151,Programmes!$A$2:$A$10,0))),1),""))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IF(OR(A152="",D152=""),"",IFERROR(ROUND(D152*IF(INDEX(Programmes!$L$2:$L$10,MATCH(A152,Programmes!$A$2:$A$10,0))="",INDEX(Programmes!$K$2:$K$10,MATCH(A152,Programmes!$A$2:$A$10,0)),INDEX(Programmes!$L$2:$L$10,MATCH(A152,Programmes!$A$2:$A$10,0))),1),""))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IF(OR(A153="",D153=""),"",IFERROR(ROUND(D153*IF(INDEX(Programmes!$L$2:$L$10,MATCH(A153,Programmes!$A$2:$A$10,0))="",INDEX(Programmes!$K$2:$K$10,MATCH(A153,Programmes!$A$2:$A$10,0)),INDEX(Programmes!$L$2:$L$10,MATCH(A153,Programmes!$A$2:$A$10,0))),1),""))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IF(OR(A154="",D154=""),"",IFERROR(ROUND(D154*IF(INDEX(Programmes!$L$2:$L$10,MATCH(A154,Programmes!$A$2:$A$10,0))="",INDEX(Programmes!$K$2:$K$10,MATCH(A154,Programmes!$A$2:$A$10,0)),INDEX(Programmes!$L$2:$L$10,MATCH(A154,Programmes!$A$2:$A$10,0))),1),""))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IF(OR(A155="",D155=""),"",IFERROR(ROUND(D155*IF(INDEX(Programmes!$L$2:$L$10,MATCH(A155,Programmes!$A$2:$A$10,0))="",INDEX(Programmes!$K$2:$K$10,MATCH(A155,Programmes!$A$2:$A$10,0)),INDEX(Programmes!$L$2:$L$10,MATCH(A155,Programmes!$A$2:$A$10,0))),1),""))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IF(OR(A156="",D156=""),"",IFERROR(ROUND(D156*IF(INDEX(Programmes!$L$2:$L$10,MATCH(A156,Programmes!$A$2:$A$10,0))="",INDEX(Programmes!$K$2:$K$10,MATCH(A156,Programmes!$A$2:$A$10,0)),INDEX(Programmes!$L$2:$L$10,MATCH(A156,Programmes!$A$2:$A$10,0))),1),""))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IF(OR(A157="",D157=""),"",IFERROR(ROUND(D157*IF(INDEX(Programmes!$L$2:$L$10,MATCH(A157,Programmes!$A$2:$A$10,0))="",INDEX(Programmes!$K$2:$K$10,MATCH(A157,Programmes!$A$2:$A$10,0)),INDEX(Programmes!$L$2:$L$10,MATCH(A157,Programmes!$A$2:$A$10,0))),1),""))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IF(OR(A158="",D158=""),"",IFERROR(ROUND(D158*IF(INDEX(Programmes!$L$2:$L$10,MATCH(A158,Programmes!$A$2:$A$10,0))="",INDEX(Programmes!$K$2:$K$10,MATCH(A158,Programmes!$A$2:$A$10,0)),INDEX(Programmes!$L$2:$L$10,MATCH(A158,Programmes!$A$2:$A$10,0))),1),""))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IF(OR(A159="",D159=""),"",IFERROR(ROUND(D159*IF(INDEX(Programmes!$L$2:$L$10,MATCH(A159,Programmes!$A$2:$A$10,0))="",INDEX(Programmes!$K$2:$K$10,MATCH(A159,Programmes!$A$2:$A$10,0)),INDEX(Programmes!$L$2:$L$10,MATCH(A159,Programmes!$A$2:$A$10,0))),1),""))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IF(OR(A160="",D160=""),"",IFERROR(ROUND(D160*IF(INDEX(Programmes!$L$2:$L$10,MATCH(A160,Programmes!$A$2:$A$10,0))="",INDEX(Programmes!$K$2:$K$10,MATCH(A160,Programmes!$A$2:$A$10,0)),INDEX(Programmes!$L$2:$L$10,MATCH(A160,Programmes!$A$2:$A$10,0))),1),""))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IF(OR(A161="",D161=""),"",IFERROR(ROUND(D161*IF(INDEX(Programmes!$L$2:$L$10,MATCH(A161,Programmes!$A$2:$A$10,0))="",INDEX(Programmes!$K$2:$K$10,MATCH(A161,Programmes!$A$2:$A$10,0)),INDEX(Programmes!$L$2:$L$10,MATCH(A161,Programmes!$A$2:$A$10,0))),1),""))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IF(OR(A162="",D162=""),"",IFERROR(ROUND(D162*IF(INDEX(Programmes!$L$2:$L$10,MATCH(A162,Programmes!$A$2:$A$10,0))="",INDEX(Programmes!$K$2:$K$10,MATCH(A162,Programmes!$A$2:$A$10,0)),INDEX(Programmes!$L$2:$L$10,MATCH(A162,Programmes!$A$2:$A$10,0))),1),""))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IF(OR(A163="",D163=""),"",IFERROR(ROUND(D163*IF(INDEX(Programmes!$L$2:$L$10,MATCH(A163,Programmes!$A$2:$A$10,0))="",INDEX(Programmes!$K$2:$K$10,MATCH(A163,Programmes!$A$2:$A$10,0)),INDEX(Programmes!$L$2:$L$10,MATCH(A163,Programmes!$A$2:$A$10,0))),1),""))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IF(OR(A164="",D164=""),"",IFERROR(ROUND(D164*IF(INDEX(Programmes!$L$2:$L$10,MATCH(A164,Programmes!$A$2:$A$10,0))="",INDEX(Programmes!$K$2:$K$10,MATCH(A164,Programmes!$A$2:$A$10,0)),INDEX(Programmes!$L$2:$L$10,MATCH(A164,Programmes!$A$2:$A$10,0))),1),""))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IF(OR(A165="",D165=""),"",IFERROR(ROUND(D165*IF(INDEX(Programmes!$L$2:$L$10,MATCH(A165,Programmes!$A$2:$A$10,0))="",INDEX(Programmes!$K$2:$K$10,MATCH(A165,Programmes!$A$2:$A$10,0)),INDEX(Programmes!$L$2:$L$10,MATCH(A165,Programmes!$A$2:$A$10,0))),1),""))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IF(OR(A166="",D166=""),"",IFERROR(ROUND(D166*IF(INDEX(Programmes!$L$2:$L$10,MATCH(A166,Programmes!$A$2:$A$10,0))="",INDEX(Programmes!$K$2:$K$10,MATCH(A166,Programmes!$A$2:$A$10,0)),INDEX(Programmes!$L$2:$L$10,MATCH(A166,Programmes!$A$2:$A$10,0))),1),""))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IF(OR(A167="",D167=""),"",IFERROR(ROUND(D167*IF(INDEX(Programmes!$L$2:$L$10,MATCH(A167,Programmes!$A$2:$A$10,0))="",INDEX(Programmes!$K$2:$K$10,MATCH(A167,Programmes!$A$2:$A$10,0)),INDEX(Programmes!$L$2:$L$10,MATCH(A167,Programmes!$A$2:$A$10,0))),1),""))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IF(OR(A168="",D168=""),"",IFERROR(ROUND(D168*IF(INDEX(Programmes!$L$2:$L$10,MATCH(A168,Programmes!$A$2:$A$10,0))="",INDEX(Programmes!$K$2:$K$10,MATCH(A168,Programmes!$A$2:$A$10,0)),INDEX(Programmes!$L$2:$L$10,MATCH(A168,Programmes!$A$2:$A$10,0))),1),""))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IF(OR(A169="",D169=""),"",IFERROR(ROUND(D169*IF(INDEX(Programmes!$L$2:$L$10,MATCH(A169,Programmes!$A$2:$A$10,0))="",INDEX(Programmes!$K$2:$K$10,MATCH(A169,Programmes!$A$2:$A$10,0)),INDEX(Programmes!$L$2:$L$10,MATCH(A169,Programmes!$A$2:$A$10,0))),1),""))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IF(OR(A170="",D170=""),"",IFERROR(ROUND(D170*IF(INDEX(Programmes!$L$2:$L$10,MATCH(A170,Programmes!$A$2:$A$10,0))="",INDEX(Programmes!$K$2:$K$10,MATCH(A170,Programmes!$A$2:$A$10,0)),INDEX(Programmes!$L$2:$L$10,MATCH(A170,Programmes!$A$2:$A$10,0))),1),""))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IF(OR(A171="",D171=""),"",IFERROR(ROUND(D171*IF(INDEX(Programmes!$L$2:$L$10,MATCH(A171,Programmes!$A$2:$A$10,0))="",INDEX(Programmes!$K$2:$K$10,MATCH(A171,Programmes!$A$2:$A$10,0)),INDEX(Programmes!$L$2:$L$10,MATCH(A171,Programmes!$A$2:$A$10,0))),1),""))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IF(OR(A172="",D172=""),"",IFERROR(ROUND(D172*IF(INDEX(Programmes!$L$2:$L$10,MATCH(A172,Programmes!$A$2:$A$10,0))="",INDEX(Programmes!$K$2:$K$10,MATCH(A172,Programmes!$A$2:$A$10,0)),INDEX(Programmes!$L$2:$L$10,MATCH(A172,Programmes!$A$2:$A$10,0))),1),""))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IF(OR(A173="",D173=""),"",IFERROR(ROUND(D173*IF(INDEX(Programmes!$L$2:$L$10,MATCH(A173,Programmes!$A$2:$A$10,0))="",INDEX(Programmes!$K$2:$K$10,MATCH(A173,Programmes!$A$2:$A$10,0)),INDEX(Programmes!$L$2:$L$10,MATCH(A173,Programmes!$A$2:$A$10,0))),1),""))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IF(OR(A174="",D174=""),"",IFERROR(ROUND(D174*IF(INDEX(Programmes!$L$2:$L$10,MATCH(A174,Programmes!$A$2:$A$10,0))="",INDEX(Programmes!$K$2:$K$10,MATCH(A174,Programmes!$A$2:$A$10,0)),INDEX(Programmes!$L$2:$L$10,MATCH(A174,Programmes!$A$2:$A$10,0))),1),""))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IF(OR(A175="",D175=""),"",IFERROR(ROUND(D175*IF(INDEX(Programmes!$L$2:$L$10,MATCH(A175,Programmes!$A$2:$A$10,0))="",INDEX(Programmes!$K$2:$K$10,MATCH(A175,Programmes!$A$2:$A$10,0)),INDEX(Programmes!$L$2:$L$10,MATCH(A175,Programmes!$A$2:$A$10,0))),1),""))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IF(OR(A176="",D176=""),"",IFERROR(ROUND(D176*IF(INDEX(Programmes!$L$2:$L$10,MATCH(A176,Programmes!$A$2:$A$10,0))="",INDEX(Programmes!$K$2:$K$10,MATCH(A176,Programmes!$A$2:$A$10,0)),INDEX(Programmes!$L$2:$L$10,MATCH(A176,Programmes!$A$2:$A$10,0))),1),""))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IF(OR(A177="",D177=""),"",IFERROR(ROUND(D177*IF(INDEX(Programmes!$L$2:$L$10,MATCH(A177,Programmes!$A$2:$A$10,0))="",INDEX(Programmes!$K$2:$K$10,MATCH(A177,Programmes!$A$2:$A$10,0)),INDEX(Programmes!$L$2:$L$10,MATCH(A177,Programmes!$A$2:$A$10,0))),1),""))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IF(OR(A178="",D178=""),"",IFERROR(ROUND(D178*IF(INDEX(Programmes!$L$2:$L$10,MATCH(A178,Programmes!$A$2:$A$10,0))="",INDEX(Programmes!$K$2:$K$10,MATCH(A178,Programmes!$A$2:$A$10,0)),INDEX(Programmes!$L$2:$L$10,MATCH(A178,Programmes!$A$2:$A$10,0))),1),""))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IF(OR(A179="",D179=""),"",IFERROR(ROUND(D179*IF(INDEX(Programmes!$L$2:$L$10,MATCH(A179,Programmes!$A$2:$A$10,0))="",INDEX(Programmes!$K$2:$K$10,MATCH(A179,Programmes!$A$2:$A$10,0)),INDEX(Programmes!$L$2:$L$10,MATCH(A179,Programmes!$A$2:$A$10,0))),1),""))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IF(OR(A180="",D180=""),"",IFERROR(ROUND(D180*IF(INDEX(Programmes!$L$2:$L$10,MATCH(A180,Programmes!$A$2:$A$10,0))="",INDEX(Programmes!$K$2:$K$10,MATCH(A180,Programmes!$A$2:$A$10,0)),INDEX(Programmes!$L$2:$L$10,MATCH(A180,Programmes!$A$2:$A$10,0))),1),""))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IF(OR(A181="",D181=""),"",IFERROR(ROUND(D181*IF(INDEX(Programmes!$L$2:$L$10,MATCH(A181,Programmes!$A$2:$A$10,0))="",INDEX(Programmes!$K$2:$K$10,MATCH(A181,Programmes!$A$2:$A$10,0)),INDEX(Programmes!$L$2:$L$10,MATCH(A181,Programmes!$A$2:$A$10,0))),1),""))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IF(OR(A182="",D182=""),"",IFERROR(ROUND(D182*IF(INDEX(Programmes!$L$2:$L$10,MATCH(A182,Programmes!$A$2:$A$10,0))="",INDEX(Programmes!$K$2:$K$10,MATCH(A182,Programmes!$A$2:$A$10,0)),INDEX(Programmes!$L$2:$L$10,MATCH(A182,Programmes!$A$2:$A$10,0))),1),""))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IF(OR(A183="",D183=""),"",IFERROR(ROUND(D183*IF(INDEX(Programmes!$L$2:$L$10,MATCH(A183,Programmes!$A$2:$A$10,0))="",INDEX(Programmes!$K$2:$K$10,MATCH(A183,Programmes!$A$2:$A$10,0)),INDEX(Programmes!$L$2:$L$10,MATCH(A183,Programmes!$A$2:$A$10,0))),1),""))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IF(OR(A184="",D184=""),"",IFERROR(ROUND(D184*IF(INDEX(Programmes!$L$2:$L$10,MATCH(A184,Programmes!$A$2:$A$10,0))="",INDEX(Programmes!$K$2:$K$10,MATCH(A184,Programmes!$A$2:$A$10,0)),INDEX(Programmes!$L$2:$L$10,MATCH(A184,Programmes!$A$2:$A$10,0))),1),""))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IF(OR(A185="",D185=""),"",IFERROR(ROUND(D185*IF(INDEX(Programmes!$L$2:$L$10,MATCH(A185,Programmes!$A$2:$A$10,0))="",INDEX(Programmes!$K$2:$K$10,MATCH(A185,Programmes!$A$2:$A$10,0)),INDEX(Programmes!$L$2:$L$10,MATCH(A185,Programmes!$A$2:$A$10,0))),1),""))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IF(OR(A186="",D186=""),"",IFERROR(ROUND(D186*IF(INDEX(Programmes!$L$2:$L$10,MATCH(A186,Programmes!$A$2:$A$10,0))="",INDEX(Programmes!$K$2:$K$10,MATCH(A186,Programmes!$A$2:$A$10,0)),INDEX(Programmes!$L$2:$L$10,MATCH(A186,Programmes!$A$2:$A$10,0))),1),""))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IF(OR(A187="",D187=""),"",IFERROR(ROUND(D187*IF(INDEX(Programmes!$L$2:$L$10,MATCH(A187,Programmes!$A$2:$A$10,0))="",INDEX(Programmes!$K$2:$K$10,MATCH(A187,Programmes!$A$2:$A$10,0)),INDEX(Programmes!$L$2:$L$10,MATCH(A187,Programmes!$A$2:$A$10,0))),1),""))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IF(OR(A188="",D188=""),"",IFERROR(ROUND(D188*IF(INDEX(Programmes!$L$2:$L$10,MATCH(A188,Programmes!$A$2:$A$10,0))="",INDEX(Programmes!$K$2:$K$10,MATCH(A188,Programmes!$A$2:$A$10,0)),INDEX(Programmes!$L$2:$L$10,MATCH(A188,Programmes!$A$2:$A$10,0))),1),""))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IF(OR(A189="",D189=""),"",IFERROR(ROUND(D189*IF(INDEX(Programmes!$L$2:$L$10,MATCH(A189,Programmes!$A$2:$A$10,0))="",INDEX(Programmes!$K$2:$K$10,MATCH(A189,Programmes!$A$2:$A$10,0)),INDEX(Programmes!$L$2:$L$10,MATCH(A189,Programmes!$A$2:$A$10,0))),1),""))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IF(OR(A190="",D190=""),"",IFERROR(ROUND(D190*IF(INDEX(Programmes!$L$2:$L$10,MATCH(A190,Programmes!$A$2:$A$10,0))="",INDEX(Programmes!$K$2:$K$10,MATCH(A190,Programmes!$A$2:$A$10,0)),INDEX(Programmes!$L$2:$L$10,MATCH(A190,Programmes!$A$2:$A$10,0))),1),""))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IF(OR(A191="",D191=""),"",IFERROR(ROUND(D191*IF(INDEX(Programmes!$L$2:$L$10,MATCH(A191,Programmes!$A$2:$A$10,0))="",INDEX(Programmes!$K$2:$K$10,MATCH(A191,Programmes!$A$2:$A$10,0)),INDEX(Programmes!$L$2:$L$10,MATCH(A191,Programmes!$A$2:$A$10,0))),1),""))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IF(OR(A192="",D192=""),"",IFERROR(ROUND(D192*IF(INDEX(Programmes!$L$2:$L$10,MATCH(A192,Programmes!$A$2:$A$10,0))="",INDEX(Programmes!$K$2:$K$10,MATCH(A192,Programmes!$A$2:$A$10,0)),INDEX(Programmes!$L$2:$L$10,MATCH(A192,Programmes!$A$2:$A$10,0))),1),""))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IF(OR(A193="",D193=""),"",IFERROR(ROUND(D193*IF(INDEX(Programmes!$L$2:$L$10,MATCH(A193,Programmes!$A$2:$A$10,0))="",INDEX(Programmes!$K$2:$K$10,MATCH(A193,Programmes!$A$2:$A$10,0)),INDEX(Programmes!$L$2:$L$10,MATCH(A193,Programmes!$A$2:$A$10,0))),1),""))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IF(OR(A194="",D194=""),"",IFERROR(ROUND(D194*IF(INDEX(Programmes!$L$2:$L$10,MATCH(A194,Programmes!$A$2:$A$10,0))="",INDEX(Programmes!$K$2:$K$10,MATCH(A194,Programmes!$A$2:$A$10,0)),INDEX(Programmes!$L$2:$L$10,MATCH(A194,Programmes!$A$2:$A$10,0))),1),""))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IF(OR(A195="",D195=""),"",IFERROR(ROUND(D195*IF(INDEX(Programmes!$L$2:$L$10,MATCH(A195,Programmes!$A$2:$A$10,0))="",INDEX(Programmes!$K$2:$K$10,MATCH(A195,Programmes!$A$2:$A$10,0)),INDEX(Programmes!$L$2:$L$10,MATCH(A195,Programmes!$A$2:$A$10,0))),1),""))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IF(OR(A196="",D196=""),"",IFERROR(ROUND(D196*IF(INDEX(Programmes!$L$2:$L$10,MATCH(A196,Programmes!$A$2:$A$10,0))="",INDEX(Programmes!$K$2:$K$10,MATCH(A196,Programmes!$A$2:$A$10,0)),INDEX(Programmes!$L$2:$L$10,MATCH(A196,Programmes!$A$2:$A$10,0))),1),""))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IF(OR(A197="",D197=""),"",IFERROR(ROUND(D197*IF(INDEX(Programmes!$L$2:$L$10,MATCH(A197,Programmes!$A$2:$A$10,0))="",INDEX(Programmes!$K$2:$K$10,MATCH(A197,Programmes!$A$2:$A$10,0)),INDEX(Programmes!$L$2:$L$10,MATCH(A197,Programmes!$A$2:$A$10,0))),1),""))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IF(OR(A198="",D198=""),"",IFERROR(ROUND(D198*IF(INDEX(Programmes!$L$2:$L$10,MATCH(A198,Programmes!$A$2:$A$10,0))="",INDEX(Programmes!$K$2:$K$10,MATCH(A198,Programmes!$A$2:$A$10,0)),INDEX(Programmes!$L$2:$L$10,MATCH(A198,Programmes!$A$2:$A$10,0))),1),""))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IF(OR(A199="",D199=""),"",IFERROR(ROUND(D199*IF(INDEX(Programmes!$L$2:$L$10,MATCH(A199,Programmes!$A$2:$A$10,0))="",INDEX(Programmes!$K$2:$K$10,MATCH(A199,Programmes!$A$2:$A$10,0)),INDEX(Programmes!$L$2:$L$10,MATCH(A199,Programmes!$A$2:$A$10,0))),1),""))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IF(OR(A200="",D200=""),"",IFERROR(ROUND(D200*IF(INDEX(Programmes!$L$2:$L$10,MATCH(A200,Programmes!$A$2:$A$10,0))="",INDEX(Programmes!$K$2:$K$10,MATCH(A200,Programmes!$A$2:$A$10,0)),INDEX(Programmes!$L$2:$L$10,MATCH(A200,Programmes!$A$2:$A$10,0))),1),""))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IF(OR(A201="",D201=""),"",IFERROR(ROUND(D201*IF(INDEX(Programmes!$L$2:$L$10,MATCH(A201,Programmes!$A$2:$A$10,0))="",INDEX(Programmes!$K$2:$K$10,MATCH(A201,Programmes!$A$2:$A$10,0)),INDEX(Programmes!$L$2:$L$10,MATCH(A201,Programmes!$A$2:$A$10,0))),1),""))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IF(OR(A202="",D202=""),"",IFERROR(ROUND(D202*IF(INDEX(Programmes!$L$2:$L$10,MATCH(A202,Programmes!$A$2:$A$10,0))="",INDEX(Programmes!$K$2:$K$10,MATCH(A202,Programmes!$A$2:$A$10,0)),INDEX(Programmes!$L$2:$L$10,MATCH(A202,Programmes!$A$2:$A$10,0))),1),""))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IF(OR(A203="",D203=""),"",IFERROR(ROUND(D203*IF(INDEX(Programmes!$L$2:$L$10,MATCH(A203,Programmes!$A$2:$A$10,0))="",INDEX(Programmes!$K$2:$K$10,MATCH(A203,Programmes!$A$2:$A$10,0)),INDEX(Programmes!$L$2:$L$10,MATCH(A203,Programmes!$A$2:$A$10,0))),1),""))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IF(OR(A204="",D204=""),"",IFERROR(ROUND(D204*IF(INDEX(Programmes!$L$2:$L$10,MATCH(A204,Programmes!$A$2:$A$10,0))="",INDEX(Programmes!$K$2:$K$10,MATCH(A204,Programmes!$A$2:$A$10,0)),INDEX(Programmes!$L$2:$L$10,MATCH(A204,Programmes!$A$2:$A$10,0))),1),""))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IF(OR(A205="",D205=""),"",IFERROR(ROUND(D205*IF(INDEX(Programmes!$L$2:$L$10,MATCH(A205,Programmes!$A$2:$A$10,0))="",INDEX(Programmes!$K$2:$K$10,MATCH(A205,Programmes!$A$2:$A$10,0)),INDEX(Programmes!$L$2:$L$10,MATCH(A205,Programmes!$A$2:$A$10,0))),1),""))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IF(OR(A206="",D206=""),"",IFERROR(ROUND(D206*IF(INDEX(Programmes!$L$2:$L$10,MATCH(A206,Programmes!$A$2:$A$10,0))="",INDEX(Programmes!$K$2:$K$10,MATCH(A206,Programmes!$A$2:$A$10,0)),INDEX(Programmes!$L$2:$L$10,MATCH(A206,Programmes!$A$2:$A$10,0))),1),""))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IF(OR(A207="",D207=""),"",IFERROR(ROUND(D207*IF(INDEX(Programmes!$L$2:$L$10,MATCH(A207,Programmes!$A$2:$A$10,0))="",INDEX(Programmes!$K$2:$K$10,MATCH(A207,Programmes!$A$2:$A$10,0)),INDEX(Programmes!$L$2:$L$10,MATCH(A207,Programmes!$A$2:$A$10,0))),1),""))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IF(OR(A208="",D208=""),"",IFERROR(ROUND(D208*IF(INDEX(Programmes!$L$2:$L$10,MATCH(A208,Programmes!$A$2:$A$10,0))="",INDEX(Programmes!$K$2:$K$10,MATCH(A208,Programmes!$A$2:$A$10,0)),INDEX(Programmes!$L$2:$L$10,MATCH(A208,Programmes!$A$2:$A$10,0))),1),""))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IF(OR(A209="",D209=""),"",IFERROR(ROUND(D209*IF(INDEX(Programmes!$L$2:$L$10,MATCH(A209,Programmes!$A$2:$A$10,0))="",INDEX(Programmes!$K$2:$K$10,MATCH(A209,Programmes!$A$2:$A$10,0)),INDEX(Programmes!$L$2:$L$10,MATCH(A209,Programmes!$A$2:$A$10,0))),1),""))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IF(OR(A210="",D210=""),"",IFERROR(ROUND(D210*IF(INDEX(Programmes!$L$2:$L$10,MATCH(A210,Programmes!$A$2:$A$10,0))="",INDEX(Programmes!$K$2:$K$10,MATCH(A210,Programmes!$A$2:$A$10,0)),INDEX(Programmes!$L$2:$L$10,MATCH(A210,Programmes!$A$2:$A$10,0))),1),""))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IF(OR(A211="",D211=""),"",IFERROR(ROUND(D211*IF(INDEX(Programmes!$L$2:$L$10,MATCH(A211,Programmes!$A$2:$A$10,0))="",INDEX(Programmes!$K$2:$K$10,MATCH(A211,Programmes!$A$2:$A$10,0)),INDEX(Programmes!$L$2:$L$10,MATCH(A211,Programmes!$A$2:$A$10,0))),1),""))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IF(OR(A212="",D212=""),"",IFERROR(ROUND(D212*IF(INDEX(Programmes!$L$2:$L$10,MATCH(A212,Programmes!$A$2:$A$10,0))="",INDEX(Programmes!$K$2:$K$10,MATCH(A212,Programmes!$A$2:$A$10,0)),INDEX(Programmes!$L$2:$L$10,MATCH(A212,Programmes!$A$2:$A$10,0))),1),""))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IF(OR(A213="",D213=""),"",IFERROR(ROUND(D213*IF(INDEX(Programmes!$L$2:$L$10,MATCH(A213,Programmes!$A$2:$A$10,0))="",INDEX(Programmes!$K$2:$K$10,MATCH(A213,Programmes!$A$2:$A$10,0)),INDEX(Programmes!$L$2:$L$10,MATCH(A213,Programmes!$A$2:$A$10,0))),1),""))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IF(OR(A214="",D214=""),"",IFERROR(ROUND(D214*IF(INDEX(Programmes!$L$2:$L$10,MATCH(A214,Programmes!$A$2:$A$10,0))="",INDEX(Programmes!$K$2:$K$10,MATCH(A214,Programmes!$A$2:$A$10,0)),INDEX(Programmes!$L$2:$L$10,MATCH(A214,Programmes!$A$2:$A$10,0))),1),""))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IF(OR(A215="",D215=""),"",IFERROR(ROUND(D215*IF(INDEX(Programmes!$L$2:$L$10,MATCH(A215,Programmes!$A$2:$A$10,0))="",INDEX(Programmes!$K$2:$K$10,MATCH(A215,Programmes!$A$2:$A$10,0)),INDEX(Programmes!$L$2:$L$10,MATCH(A215,Programmes!$A$2:$A$10,0))),1),""))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IF(OR(A216="",D216=""),"",IFERROR(ROUND(D216*IF(INDEX(Programmes!$L$2:$L$10,MATCH(A216,Programmes!$A$2:$A$10,0))="",INDEX(Programmes!$K$2:$K$10,MATCH(A216,Programmes!$A$2:$A$10,0)),INDEX(Programmes!$L$2:$L$10,MATCH(A216,Programmes!$A$2:$A$10,0))),1),""))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IF(OR(A217="",D217=""),"",IFERROR(ROUND(D217*IF(INDEX(Programmes!$L$2:$L$10,MATCH(A217,Programmes!$A$2:$A$10,0))="",INDEX(Programmes!$K$2:$K$10,MATCH(A217,Programmes!$A$2:$A$10,0)),INDEX(Programmes!$L$2:$L$10,MATCH(A217,Programmes!$A$2:$A$10,0))),1),""))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IF(OR(A218="",D218=""),"",IFERROR(ROUND(D218*IF(INDEX(Programmes!$L$2:$L$10,MATCH(A218,Programmes!$A$2:$A$10,0))="",INDEX(Programmes!$K$2:$K$10,MATCH(A218,Programmes!$A$2:$A$10,0)),INDEX(Programmes!$L$2:$L$10,MATCH(A218,Programmes!$A$2:$A$10,0))),1),""))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IF(OR(A219="",D219=""),"",IFERROR(ROUND(D219*IF(INDEX(Programmes!$L$2:$L$10,MATCH(A219,Programmes!$A$2:$A$10,0))="",INDEX(Programmes!$K$2:$K$10,MATCH(A219,Programmes!$A$2:$A$10,0)),INDEX(Programmes!$L$2:$L$10,MATCH(A219,Programmes!$A$2:$A$10,0))),1),""))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IF(OR(A220="",D220=""),"",IFERROR(ROUND(D220*IF(INDEX(Programmes!$L$2:$L$10,MATCH(A220,Programmes!$A$2:$A$10,0))="",INDEX(Programmes!$K$2:$K$10,MATCH(A220,Programmes!$A$2:$A$10,0)),INDEX(Programmes!$L$2:$L$10,MATCH(A220,Programmes!$A$2:$A$10,0))),1),""))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IF(OR(A221="",D221=""),"",IFERROR(ROUND(D221*IF(INDEX(Programmes!$L$2:$L$10,MATCH(A221,Programmes!$A$2:$A$10,0))="",INDEX(Programmes!$K$2:$K$10,MATCH(A221,Programmes!$A$2:$A$10,0)),INDEX(Programmes!$L$2:$L$10,MATCH(A221,Programmes!$A$2:$A$10,0))),1),""))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IF(OR(A222="",D222=""),"",IFERROR(ROUND(D222*IF(INDEX(Programmes!$L$2:$L$10,MATCH(A222,Programmes!$A$2:$A$10,0))="",INDEX(Programmes!$K$2:$K$10,MATCH(A222,Programmes!$A$2:$A$10,0)),INDEX(Programmes!$L$2:$L$10,MATCH(A222,Programmes!$A$2:$A$10,0))),1),""))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IF(OR(A223="",D223=""),"",IFERROR(ROUND(D223*IF(INDEX(Programmes!$L$2:$L$10,MATCH(A223,Programmes!$A$2:$A$10,0))="",INDEX(Programmes!$K$2:$K$10,MATCH(A223,Programmes!$A$2:$A$10,0)),INDEX(Programmes!$L$2:$L$10,MATCH(A223,Programmes!$A$2:$A$10,0))),1),""))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IF(OR(A224="",D224=""),"",IFERROR(ROUND(D224*IF(INDEX(Programmes!$L$2:$L$10,MATCH(A224,Programmes!$A$2:$A$10,0))="",INDEX(Programmes!$K$2:$K$10,MATCH(A224,Programmes!$A$2:$A$10,0)),INDEX(Programmes!$L$2:$L$10,MATCH(A224,Programmes!$A$2:$A$10,0))),1),""))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IF(OR(A225="",D225=""),"",IFERROR(ROUND(D225*IF(INDEX(Programmes!$L$2:$L$10,MATCH(A225,Programmes!$A$2:$A$10,0))="",INDEX(Programmes!$K$2:$K$10,MATCH(A225,Programmes!$A$2:$A$10,0)),INDEX(Programmes!$L$2:$L$10,MATCH(A225,Programmes!$A$2:$A$10,0))),1),""))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IF(OR(A226="",D226=""),"",IFERROR(ROUND(D226*IF(INDEX(Programmes!$L$2:$L$10,MATCH(A226,Programmes!$A$2:$A$10,0))="",INDEX(Programmes!$K$2:$K$10,MATCH(A226,Programmes!$A$2:$A$10,0)),INDEX(Programmes!$L$2:$L$10,MATCH(A226,Programmes!$A$2:$A$10,0))),1),""))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IF(OR(A227="",D227=""),"",IFERROR(ROUND(D227*IF(INDEX(Programmes!$L$2:$L$10,MATCH(A227,Programmes!$A$2:$A$10,0))="",INDEX(Programmes!$K$2:$K$10,MATCH(A227,Programmes!$A$2:$A$10,0)),INDEX(Programmes!$L$2:$L$10,MATCH(A227,Programmes!$A$2:$A$10,0))),1),""))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IF(OR(A228="",D228=""),"",IFERROR(ROUND(D228*IF(INDEX(Programmes!$L$2:$L$10,MATCH(A228,Programmes!$A$2:$A$10,0))="",INDEX(Programmes!$K$2:$K$10,MATCH(A228,Programmes!$A$2:$A$10,0)),INDEX(Programmes!$L$2:$L$10,MATCH(A228,Programmes!$A$2:$A$10,0))),1),""))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IF(OR(A229="",D229=""),"",IFERROR(ROUND(D229*IF(INDEX(Programmes!$L$2:$L$10,MATCH(A229,Programmes!$A$2:$A$10,0))="",INDEX(Programmes!$K$2:$K$10,MATCH(A229,Programmes!$A$2:$A$10,0)),INDEX(Programmes!$L$2:$L$10,MATCH(A229,Programmes!$A$2:$A$10,0))),1),""))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IF(OR(A230="",D230=""),"",IFERROR(ROUND(D230*IF(INDEX(Programmes!$L$2:$L$10,MATCH(A230,Programmes!$A$2:$A$10,0))="",INDEX(Programmes!$K$2:$K$10,MATCH(A230,Programmes!$A$2:$A$10,0)),INDEX(Programmes!$L$2:$L$10,MATCH(A230,Programmes!$A$2:$A$10,0))),1),""))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IF(OR(A231="",D231=""),"",IFERROR(ROUND(D231*IF(INDEX(Programmes!$L$2:$L$10,MATCH(A231,Programmes!$A$2:$A$10,0))="",INDEX(Programmes!$K$2:$K$10,MATCH(A231,Programmes!$A$2:$A$10,0)),INDEX(Programmes!$L$2:$L$10,MATCH(A231,Programmes!$A$2:$A$10,0))),1),""))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IF(OR(A232="",D232=""),"",IFERROR(ROUND(D232*IF(INDEX(Programmes!$L$2:$L$10,MATCH(A232,Programmes!$A$2:$A$10,0))="",INDEX(Programmes!$K$2:$K$10,MATCH(A232,Programmes!$A$2:$A$10,0)),INDEX(Programmes!$L$2:$L$10,MATCH(A232,Programmes!$A$2:$A$10,0))),1),""))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IF(OR(A233="",D233=""),"",IFERROR(ROUND(D233*IF(INDEX(Programmes!$L$2:$L$10,MATCH(A233,Programmes!$A$2:$A$10,0))="",INDEX(Programmes!$K$2:$K$10,MATCH(A233,Programmes!$A$2:$A$10,0)),INDEX(Programmes!$L$2:$L$10,MATCH(A233,Programmes!$A$2:$A$10,0))),1),""))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IF(OR(A234="",D234=""),"",IFERROR(ROUND(D234*IF(INDEX(Programmes!$L$2:$L$10,MATCH(A234,Programmes!$A$2:$A$10,0))="",INDEX(Programmes!$K$2:$K$10,MATCH(A234,Programmes!$A$2:$A$10,0)),INDEX(Programmes!$L$2:$L$10,MATCH(A234,Programmes!$A$2:$A$10,0))),1),""))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IF(OR(A235="",D235=""),"",IFERROR(ROUND(D235*IF(INDEX(Programmes!$L$2:$L$10,MATCH(A235,Programmes!$A$2:$A$10,0))="",INDEX(Programmes!$K$2:$K$10,MATCH(A235,Programmes!$A$2:$A$10,0)),INDEX(Programmes!$L$2:$L$10,MATCH(A235,Programmes!$A$2:$A$10,0))),1),""))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IF(OR(A236="",D236=""),"",IFERROR(ROUND(D236*IF(INDEX(Programmes!$L$2:$L$10,MATCH(A236,Programmes!$A$2:$A$10,0))="",INDEX(Programmes!$K$2:$K$10,MATCH(A236,Programmes!$A$2:$A$10,0)),INDEX(Programmes!$L$2:$L$10,MATCH(A236,Programmes!$A$2:$A$10,0))),1),""))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IF(OR(A237="",D237=""),"",IFERROR(ROUND(D237*IF(INDEX(Programmes!$L$2:$L$10,MATCH(A237,Programmes!$A$2:$A$10,0))="",INDEX(Programmes!$K$2:$K$10,MATCH(A237,Programmes!$A$2:$A$10,0)),INDEX(Programmes!$L$2:$L$10,MATCH(A237,Programmes!$A$2:$A$10,0))),1),""))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IF(OR(A238="",D238=""),"",IFERROR(ROUND(D238*IF(INDEX(Programmes!$L$2:$L$10,MATCH(A238,Programmes!$A$2:$A$10,0))="",INDEX(Programmes!$K$2:$K$10,MATCH(A238,Programmes!$A$2:$A$10,0)),INDEX(Programmes!$L$2:$L$10,MATCH(A238,Programmes!$A$2:$A$10,0))),1),""))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IF(OR(A239="",D239=""),"",IFERROR(ROUND(D239*IF(INDEX(Programmes!$L$2:$L$10,MATCH(A239,Programmes!$A$2:$A$10,0))="",INDEX(Programmes!$K$2:$K$10,MATCH(A239,Programmes!$A$2:$A$10,0)),INDEX(Programmes!$L$2:$L$10,MATCH(A239,Programmes!$A$2:$A$10,0))),1),""))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IF(OR(A240="",D240=""),"",IFERROR(ROUND(D240*IF(INDEX(Programmes!$L$2:$L$10,MATCH(A240,Programmes!$A$2:$A$10,0))="",INDEX(Programmes!$K$2:$K$10,MATCH(A240,Programmes!$A$2:$A$10,0)),INDEX(Programmes!$L$2:$L$10,MATCH(A240,Programmes!$A$2:$A$10,0))),1),""))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IF(OR(A241="",D241=""),"",IFERROR(ROUND(D241*IF(INDEX(Programmes!$L$2:$L$10,MATCH(A241,Programmes!$A$2:$A$10,0))="",INDEX(Programmes!$K$2:$K$10,MATCH(A241,Programmes!$A$2:$A$10,0)),INDEX(Programmes!$L$2:$L$10,MATCH(A241,Programmes!$A$2:$A$10,0))),1),""))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IF(OR(A242="",D242=""),"",IFERROR(ROUND(D242*IF(INDEX(Programmes!$L$2:$L$10,MATCH(A242,Programmes!$A$2:$A$10,0))="",INDEX(Programmes!$K$2:$K$10,MATCH(A242,Programmes!$A$2:$A$10,0)),INDEX(Programmes!$L$2:$L$10,MATCH(A242,Programmes!$A$2:$A$10,0))),1),""))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IF(OR(A243="",D243=""),"",IFERROR(ROUND(D243*IF(INDEX(Programmes!$L$2:$L$10,MATCH(A243,Programmes!$A$2:$A$10,0))="",INDEX(Programmes!$K$2:$K$10,MATCH(A243,Programmes!$A$2:$A$10,0)),INDEX(Programmes!$L$2:$L$10,MATCH(A243,Programmes!$A$2:$A$10,0))),1),""))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IF(OR(A244="",D244=""),"",IFERROR(ROUND(D244*IF(INDEX(Programmes!$L$2:$L$10,MATCH(A244,Programmes!$A$2:$A$10,0))="",INDEX(Programmes!$K$2:$K$10,MATCH(A244,Programmes!$A$2:$A$10,0)),INDEX(Programmes!$L$2:$L$10,MATCH(A244,Programmes!$A$2:$A$10,0))),1),""))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IF(OR(A245="",D245=""),"",IFERROR(ROUND(D245*IF(INDEX(Programmes!$L$2:$L$10,MATCH(A245,Programmes!$A$2:$A$10,0))="",INDEX(Programmes!$K$2:$K$10,MATCH(A245,Programmes!$A$2:$A$10,0)),INDEX(Programmes!$L$2:$L$10,MATCH(A245,Programmes!$A$2:$A$10,0))),1),""))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IF(OR(A246="",D246=""),"",IFERROR(ROUND(D246*IF(INDEX(Programmes!$L$2:$L$10,MATCH(A246,Programmes!$A$2:$A$10,0))="",INDEX(Programmes!$K$2:$K$10,MATCH(A246,Programmes!$A$2:$A$10,0)),INDEX(Programmes!$L$2:$L$10,MATCH(A246,Programmes!$A$2:$A$10,0))),1),""))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IF(OR(A247="",D247=""),"",IFERROR(ROUND(D247*IF(INDEX(Programmes!$L$2:$L$10,MATCH(A247,Programmes!$A$2:$A$10,0))="",INDEX(Programmes!$K$2:$K$10,MATCH(A247,Programmes!$A$2:$A$10,0)),INDEX(Programmes!$L$2:$L$10,MATCH(A247,Programmes!$A$2:$A$10,0))),1),""))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IF(OR(A248="",D248=""),"",IFERROR(ROUND(D248*IF(INDEX(Programmes!$L$2:$L$10,MATCH(A248,Programmes!$A$2:$A$10,0))="",INDEX(Programmes!$K$2:$K$10,MATCH(A248,Programmes!$A$2:$A$10,0)),INDEX(Programmes!$L$2:$L$10,MATCH(A248,Programmes!$A$2:$A$10,0))),1),""))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IF(OR(A249="",D249=""),"",IFERROR(ROUND(D249*IF(INDEX(Programmes!$L$2:$L$10,MATCH(A249,Programmes!$A$2:$A$10,0))="",INDEX(Programmes!$K$2:$K$10,MATCH(A249,Programmes!$A$2:$A$10,0)),INDEX(Programmes!$L$2:$L$10,MATCH(A249,Programmes!$A$2:$A$10,0))),1),""))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IF(OR(A250="",D250=""),"",IFERROR(ROUND(D250*IF(INDEX(Programmes!$L$2:$L$10,MATCH(A250,Programmes!$A$2:$A$10,0))="",INDEX(Programmes!$K$2:$K$10,MATCH(A250,Programmes!$A$2:$A$10,0)),INDEX(Programmes!$L$2:$L$10,MATCH(A250,Programmes!$A$2:$A$10,0))),1),""))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IF(OR(A251="",D251=""),"",IFERROR(ROUND(D251*IF(INDEX(Programmes!$L$2:$L$10,MATCH(A251,Programmes!$A$2:$A$10,0))="",INDEX(Programmes!$K$2:$K$10,MATCH(A251,Programmes!$A$2:$A$10,0)),INDEX(Programmes!$L$2:$L$10,MATCH(A251,Programmes!$A$2:$A$10,0))),1),""))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IF(OR(A252="",D252=""),"",IFERROR(ROUND(D252*IF(INDEX(Programmes!$L$2:$L$10,MATCH(A252,Programmes!$A$2:$A$10,0))="",INDEX(Programmes!$K$2:$K$10,MATCH(A252,Programmes!$A$2:$A$10,0)),INDEX(Programmes!$L$2:$L$10,MATCH(A252,Programmes!$A$2:$A$10,0))),1),""))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IF(OR(A253="",D253=""),"",IFERROR(ROUND(D253*IF(INDEX(Programmes!$L$2:$L$10,MATCH(A253,Programmes!$A$2:$A$10,0))="",INDEX(Programmes!$K$2:$K$10,MATCH(A253,Programmes!$A$2:$A$10,0)),INDEX(Programmes!$L$2:$L$10,MATCH(A253,Programmes!$A$2:$A$10,0))),1),""))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IF(OR(A254="",D254=""),"",IFERROR(ROUND(D254*IF(INDEX(Programmes!$L$2:$L$10,MATCH(A254,Programmes!$A$2:$A$10,0))="",INDEX(Programmes!$K$2:$K$10,MATCH(A254,Programmes!$A$2:$A$10,0)),INDEX(Programmes!$L$2:$L$10,MATCH(A254,Programmes!$A$2:$A$10,0))),1),""))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IF(OR(A255="",D255=""),"",IFERROR(ROUND(D255*IF(INDEX(Programmes!$L$2:$L$10,MATCH(A255,Programmes!$A$2:$A$10,0))="",INDEX(Programmes!$K$2:$K$10,MATCH(A255,Programmes!$A$2:$A$10,0)),INDEX(Programmes!$L$2:$L$10,MATCH(A255,Programmes!$A$2:$A$10,0))),1),""))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IF(OR(A256="",D256=""),"",IFERROR(ROUND(D256*IF(INDEX(Programmes!$L$2:$L$10,MATCH(A256,Programmes!$A$2:$A$10,0))="",INDEX(Programmes!$K$2:$K$10,MATCH(A256,Programmes!$A$2:$A$10,0)),INDEX(Programmes!$L$2:$L$10,MATCH(A256,Programmes!$A$2:$A$10,0))),1),""))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IF(OR(A257="",D257=""),"",IFERROR(ROUND(D257*IF(INDEX(Programmes!$L$2:$L$10,MATCH(A257,Programmes!$A$2:$A$10,0))="",INDEX(Programmes!$K$2:$K$10,MATCH(A257,Programmes!$A$2:$A$10,0)),INDEX(Programmes!$L$2:$L$10,MATCH(A257,Programmes!$A$2:$A$10,0))),1),""))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IF(OR(A258="",D258=""),"",IFERROR(ROUND(D258*IF(INDEX(Programmes!$L$2:$L$10,MATCH(A258,Programmes!$A$2:$A$10,0))="",INDEX(Programmes!$K$2:$K$10,MATCH(A258,Programmes!$A$2:$A$10,0)),INDEX(Programmes!$L$2:$L$10,MATCH(A258,Programmes!$A$2:$A$10,0))),1),""))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IF(OR(A259="",D259=""),"",IFERROR(ROUND(D259*IF(INDEX(Programmes!$L$2:$L$10,MATCH(A259,Programmes!$A$2:$A$10,0))="",INDEX(Programmes!$K$2:$K$10,MATCH(A259,Programmes!$A$2:$A$10,0)),INDEX(Programmes!$L$2:$L$10,MATCH(A259,Programmes!$A$2:$A$10,0))),1),""))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IF(OR(A260="",D260=""),"",IFERROR(ROUND(D260*IF(INDEX(Programmes!$L$2:$L$10,MATCH(A260,Programmes!$A$2:$A$10,0))="",INDEX(Programmes!$K$2:$K$10,MATCH(A260,Programmes!$A$2:$A$10,0)),INDEX(Programmes!$L$2:$L$10,MATCH(A260,Programmes!$A$2:$A$10,0))),1),""))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IF(OR(A261="",D261=""),"",IFERROR(ROUND(D261*IF(INDEX(Programmes!$L$2:$L$10,MATCH(A261,Programmes!$A$2:$A$10,0))="",INDEX(Programmes!$K$2:$K$10,MATCH(A261,Programmes!$A$2:$A$10,0)),INDEX(Programmes!$L$2:$L$10,MATCH(A261,Programmes!$A$2:$A$10,0))),1),""))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IF(OR(A262="",D262=""),"",IFERROR(ROUND(D262*IF(INDEX(Programmes!$L$2:$L$10,MATCH(A262,Programmes!$A$2:$A$10,0))="",INDEX(Programmes!$K$2:$K$10,MATCH(A262,Programmes!$A$2:$A$10,0)),INDEX(Programmes!$L$2:$L$10,MATCH(A262,Programmes!$A$2:$A$10,0))),1),""))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IF(OR(A263="",D263=""),"",IFERROR(ROUND(D263*IF(INDEX(Programmes!$L$2:$L$10,MATCH(A263,Programmes!$A$2:$A$10,0))="",INDEX(Programmes!$K$2:$K$10,MATCH(A263,Programmes!$A$2:$A$10,0)),INDEX(Programmes!$L$2:$L$10,MATCH(A263,Programmes!$A$2:$A$10,0))),1),""))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IF(OR(A264="",D264=""),"",IFERROR(ROUND(D264*IF(INDEX(Programmes!$L$2:$L$10,MATCH(A264,Programmes!$A$2:$A$10,0))="",INDEX(Programmes!$K$2:$K$10,MATCH(A264,Programmes!$A$2:$A$10,0)),INDEX(Programmes!$L$2:$L$10,MATCH(A264,Programmes!$A$2:$A$10,0))),1),""))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IF(OR(A265="",D265=""),"",IFERROR(ROUND(D265*IF(INDEX(Programmes!$L$2:$L$10,MATCH(A265,Programmes!$A$2:$A$10,0))="",INDEX(Programmes!$K$2:$K$10,MATCH(A265,Programmes!$A$2:$A$10,0)),INDEX(Programmes!$L$2:$L$10,MATCH(A265,Programmes!$A$2:$A$10,0))),1),""))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IF(OR(A266="",D266=""),"",IFERROR(ROUND(D266*IF(INDEX(Programmes!$L$2:$L$10,MATCH(A266,Programmes!$A$2:$A$10,0))="",INDEX(Programmes!$K$2:$K$10,MATCH(A266,Programmes!$A$2:$A$10,0)),INDEX(Programmes!$L$2:$L$10,MATCH(A266,Programmes!$A$2:$A$10,0))),1),""))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IF(OR(A267="",D267=""),"",IFERROR(ROUND(D267*IF(INDEX(Programmes!$L$2:$L$10,MATCH(A267,Programmes!$A$2:$A$10,0))="",INDEX(Programmes!$K$2:$K$10,MATCH(A267,Programmes!$A$2:$A$10,0)),INDEX(Programmes!$L$2:$L$10,MATCH(A267,Programmes!$A$2:$A$10,0))),1),""))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IF(OR(A268="",D268=""),"",IFERROR(ROUND(D268*IF(INDEX(Programmes!$L$2:$L$10,MATCH(A268,Programmes!$A$2:$A$10,0))="",INDEX(Programmes!$K$2:$K$10,MATCH(A268,Programmes!$A$2:$A$10,0)),INDEX(Programmes!$L$2:$L$10,MATCH(A268,Programmes!$A$2:$A$10,0))),1),""))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IF(OR(A269="",D269=""),"",IFERROR(ROUND(D269*IF(INDEX(Programmes!$L$2:$L$10,MATCH(A269,Programmes!$A$2:$A$10,0))="",INDEX(Programmes!$K$2:$K$10,MATCH(A269,Programmes!$A$2:$A$10,0)),INDEX(Programmes!$L$2:$L$10,MATCH(A269,Programmes!$A$2:$A$10,0))),1),""))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IF(OR(A270="",D270=""),"",IFERROR(ROUND(D270*IF(INDEX(Programmes!$L$2:$L$10,MATCH(A270,Programmes!$A$2:$A$10,0))="",INDEX(Programmes!$K$2:$K$10,MATCH(A270,Programmes!$A$2:$A$10,0)),INDEX(Programmes!$L$2:$L$10,MATCH(A270,Programmes!$A$2:$A$10,0))),1),""))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IF(OR(A271="",D271=""),"",IFERROR(ROUND(D271*IF(INDEX(Programmes!$L$2:$L$10,MATCH(A271,Programmes!$A$2:$A$10,0))="",INDEX(Programmes!$K$2:$K$10,MATCH(A271,Programmes!$A$2:$A$10,0)),INDEX(Programmes!$L$2:$L$10,MATCH(A271,Programmes!$A$2:$A$10,0))),1),""))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IF(OR(A272="",D272=""),"",IFERROR(ROUND(D272*IF(INDEX(Programmes!$L$2:$L$10,MATCH(A272,Programmes!$A$2:$A$10,0))="",INDEX(Programmes!$K$2:$K$10,MATCH(A272,Programmes!$A$2:$A$10,0)),INDEX(Programmes!$L$2:$L$10,MATCH(A272,Programmes!$A$2:$A$10,0))),1),""))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IF(OR(A273="",D273=""),"",IFERROR(ROUND(D273*IF(INDEX(Programmes!$L$2:$L$10,MATCH(A273,Programmes!$A$2:$A$10,0))="",INDEX(Programmes!$K$2:$K$10,MATCH(A273,Programmes!$A$2:$A$10,0)),INDEX(Programmes!$L$2:$L$10,MATCH(A273,Programmes!$A$2:$A$10,0))),1),""))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IF(OR(A274="",D274=""),"",IFERROR(ROUND(D274*IF(INDEX(Programmes!$L$2:$L$10,MATCH(A274,Programmes!$A$2:$A$10,0))="",INDEX(Programmes!$K$2:$K$10,MATCH(A274,Programmes!$A$2:$A$10,0)),INDEX(Programmes!$L$2:$L$10,MATCH(A274,Programmes!$A$2:$A$10,0))),1),""))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IF(OR(A275="",D275=""),"",IFERROR(ROUND(D275*IF(INDEX(Programmes!$L$2:$L$10,MATCH(A275,Programmes!$A$2:$A$10,0))="",INDEX(Programmes!$K$2:$K$10,MATCH(A275,Programmes!$A$2:$A$10,0)),INDEX(Programmes!$L$2:$L$10,MATCH(A275,Programmes!$A$2:$A$10,0))),1),""))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IF(OR(A276="",D276=""),"",IFERROR(ROUND(D276*IF(INDEX(Programmes!$L$2:$L$10,MATCH(A276,Programmes!$A$2:$A$10,0))="",INDEX(Programmes!$K$2:$K$10,MATCH(A276,Programmes!$A$2:$A$10,0)),INDEX(Programmes!$L$2:$L$10,MATCH(A276,Programmes!$A$2:$A$10,0))),1),""))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IF(OR(A277="",D277=""),"",IFERROR(ROUND(D277*IF(INDEX(Programmes!$L$2:$L$10,MATCH(A277,Programmes!$A$2:$A$10,0))="",INDEX(Programmes!$K$2:$K$10,MATCH(A277,Programmes!$A$2:$A$10,0)),INDEX(Programmes!$L$2:$L$10,MATCH(A277,Programmes!$A$2:$A$10,0))),1),""))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IF(OR(A278="",D278=""),"",IFERROR(ROUND(D278*IF(INDEX(Programmes!$L$2:$L$10,MATCH(A278,Programmes!$A$2:$A$10,0))="",INDEX(Programmes!$K$2:$K$10,MATCH(A278,Programmes!$A$2:$A$10,0)),INDEX(Programmes!$L$2:$L$10,MATCH(A278,Programmes!$A$2:$A$10,0))),1),""))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IF(OR(A279="",D279=""),"",IFERROR(ROUND(D279*IF(INDEX(Programmes!$L$2:$L$10,MATCH(A279,Programmes!$A$2:$A$10,0))="",INDEX(Programmes!$K$2:$K$10,MATCH(A279,Programmes!$A$2:$A$10,0)),INDEX(Programmes!$L$2:$L$10,MATCH(A279,Programmes!$A$2:$A$10,0))),1),""))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IF(OR(A280="",D280=""),"",IFERROR(ROUND(D280*IF(INDEX(Programmes!$L$2:$L$10,MATCH(A280,Programmes!$A$2:$A$10,0))="",INDEX(Programmes!$K$2:$K$10,MATCH(A280,Programmes!$A$2:$A$10,0)),INDEX(Programmes!$L$2:$L$10,MATCH(A280,Programmes!$A$2:$A$10,0))),1),""))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IF(OR(A281="",D281=""),"",IFERROR(ROUND(D281*IF(INDEX(Programmes!$L$2:$L$10,MATCH(A281,Programmes!$A$2:$A$10,0))="",INDEX(Programmes!$K$2:$K$10,MATCH(A281,Programmes!$A$2:$A$10,0)),INDEX(Programmes!$L$2:$L$10,MATCH(A281,Programmes!$A$2:$A$10,0))),1),""))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IF(OR(A282="",D282=""),"",IFERROR(ROUND(D282*IF(INDEX(Programmes!$L$2:$L$10,MATCH(A282,Programmes!$A$2:$A$10,0))="",INDEX(Programmes!$K$2:$K$10,MATCH(A282,Programmes!$A$2:$A$10,0)),INDEX(Programmes!$L$2:$L$10,MATCH(A282,Programmes!$A$2:$A$10,0))),1),""))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IF(OR(A283="",D283=""),"",IFERROR(ROUND(D283*IF(INDEX(Programmes!$L$2:$L$10,MATCH(A283,Programmes!$A$2:$A$10,0))="",INDEX(Programmes!$K$2:$K$10,MATCH(A283,Programmes!$A$2:$A$10,0)),INDEX(Programmes!$L$2:$L$10,MATCH(A283,Programmes!$A$2:$A$10,0))),1),""))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IF(OR(A284="",D284=""),"",IFERROR(ROUND(D284*IF(INDEX(Programmes!$L$2:$L$10,MATCH(A284,Programmes!$A$2:$A$10,0))="",INDEX(Programmes!$K$2:$K$10,MATCH(A284,Programmes!$A$2:$A$10,0)),INDEX(Programmes!$L$2:$L$10,MATCH(A284,Programmes!$A$2:$A$10,0))),1),""))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IF(OR(A285="",D285=""),"",IFERROR(ROUND(D285*IF(INDEX(Programmes!$L$2:$L$10,MATCH(A285,Programmes!$A$2:$A$10,0))="",INDEX(Programmes!$K$2:$K$10,MATCH(A285,Programmes!$A$2:$A$10,0)),INDEX(Programmes!$L$2:$L$10,MATCH(A285,Programmes!$A$2:$A$10,0))),1),""))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IF(OR(A286="",D286=""),"",IFERROR(ROUND(D286*IF(INDEX(Programmes!$L$2:$L$10,MATCH(A286,Programmes!$A$2:$A$10,0))="",INDEX(Programmes!$K$2:$K$10,MATCH(A286,Programmes!$A$2:$A$10,0)),INDEX(Programmes!$L$2:$L$10,MATCH(A286,Programmes!$A$2:$A$10,0))),1),""))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IF(OR(A287="",D287=""),"",IFERROR(ROUND(D287*IF(INDEX(Programmes!$L$2:$L$10,MATCH(A287,Programmes!$A$2:$A$10,0))="",INDEX(Programmes!$K$2:$K$10,MATCH(A287,Programmes!$A$2:$A$10,0)),INDEX(Programmes!$L$2:$L$10,MATCH(A287,Programmes!$A$2:$A$10,0))),1),""))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IF(OR(A288="",D288=""),"",IFERROR(ROUND(D288*IF(INDEX(Programmes!$L$2:$L$10,MATCH(A288,Programmes!$A$2:$A$10,0))="",INDEX(Programmes!$K$2:$K$10,MATCH(A288,Programmes!$A$2:$A$10,0)),INDEX(Programmes!$L$2:$L$10,MATCH(A288,Programmes!$A$2:$A$10,0))),1),""))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IF(OR(A289="",D289=""),"",IFERROR(ROUND(D289*IF(INDEX(Programmes!$L$2:$L$10,MATCH(A289,Programmes!$A$2:$A$10,0))="",INDEX(Programmes!$K$2:$K$10,MATCH(A289,Programmes!$A$2:$A$10,0)),INDEX(Programmes!$L$2:$L$10,MATCH(A289,Programmes!$A$2:$A$10,0))),1),""))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IF(OR(A290="",D290=""),"",IFERROR(ROUND(D290*IF(INDEX(Programmes!$L$2:$L$10,MATCH(A290,Programmes!$A$2:$A$10,0))="",INDEX(Programmes!$K$2:$K$10,MATCH(A290,Programmes!$A$2:$A$10,0)),INDEX(Programmes!$L$2:$L$10,MATCH(A290,Programmes!$A$2:$A$10,0))),1),""))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IF(OR(A291="",D291=""),"",IFERROR(ROUND(D291*IF(INDEX(Programmes!$L$2:$L$10,MATCH(A291,Programmes!$A$2:$A$10,0))="",INDEX(Programmes!$K$2:$K$10,MATCH(A291,Programmes!$A$2:$A$10,0)),INDEX(Programmes!$L$2:$L$10,MATCH(A291,Programmes!$A$2:$A$10,0))),1),""))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IF(OR(A292="",D292=""),"",IFERROR(ROUND(D292*IF(INDEX(Programmes!$L$2:$L$10,MATCH(A292,Programmes!$A$2:$A$10,0))="",INDEX(Programmes!$K$2:$K$10,MATCH(A292,Programmes!$A$2:$A$10,0)),INDEX(Programmes!$L$2:$L$10,MATCH(A292,Programmes!$A$2:$A$10,0))),1),""))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IF(OR(A293="",D293=""),"",IFERROR(ROUND(D293*IF(INDEX(Programmes!$L$2:$L$10,MATCH(A293,Programmes!$A$2:$A$10,0))="",INDEX(Programmes!$K$2:$K$10,MATCH(A293,Programmes!$A$2:$A$10,0)),INDEX(Programmes!$L$2:$L$10,MATCH(A293,Programmes!$A$2:$A$10,0))),1),""))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IF(OR(A294="",D294=""),"",IFERROR(ROUND(D294*IF(INDEX(Programmes!$L$2:$L$10,MATCH(A294,Programmes!$A$2:$A$10,0))="",INDEX(Programmes!$K$2:$K$10,MATCH(A294,Programmes!$A$2:$A$10,0)),INDEX(Programmes!$L$2:$L$10,MATCH(A294,Programmes!$A$2:$A$10,0))),1),""))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IF(OR(A295="",D295=""),"",IFERROR(ROUND(D295*IF(INDEX(Programmes!$L$2:$L$10,MATCH(A295,Programmes!$A$2:$A$10,0))="",INDEX(Programmes!$K$2:$K$10,MATCH(A295,Programmes!$A$2:$A$10,0)),INDEX(Programmes!$L$2:$L$10,MATCH(A295,Programmes!$A$2:$A$10,0))),1),""))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IF(OR(A296="",D296=""),"",IFERROR(ROUND(D296*IF(INDEX(Programmes!$L$2:$L$10,MATCH(A296,Programmes!$A$2:$A$10,0))="",INDEX(Programmes!$K$2:$K$10,MATCH(A296,Programmes!$A$2:$A$10,0)),INDEX(Programmes!$L$2:$L$10,MATCH(A296,Programmes!$A$2:$A$10,0))),1),""))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IF(OR(A297="",D297=""),"",IFERROR(ROUND(D297*IF(INDEX(Programmes!$L$2:$L$10,MATCH(A297,Programmes!$A$2:$A$10,0))="",INDEX(Programmes!$K$2:$K$10,MATCH(A297,Programmes!$A$2:$A$10,0)),INDEX(Programmes!$L$2:$L$10,MATCH(A297,Programmes!$A$2:$A$10,0))),1),""))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IF(OR(A298="",D298=""),"",IFERROR(ROUND(D298*IF(INDEX(Programmes!$L$2:$L$10,MATCH(A298,Programmes!$A$2:$A$10,0))="",INDEX(Programmes!$K$2:$K$10,MATCH(A298,Programmes!$A$2:$A$10,0)),INDEX(Programmes!$L$2:$L$10,MATCH(A298,Programmes!$A$2:$A$10,0))),1),""))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IF(OR(A299="",D299=""),"",IFERROR(ROUND(D299*IF(INDEX(Programmes!$L$2:$L$10,MATCH(A299,Programmes!$A$2:$A$10,0))="",INDEX(Programmes!$K$2:$K$10,MATCH(A299,Programmes!$A$2:$A$10,0)),INDEX(Programmes!$L$2:$L$10,MATCH(A299,Programmes!$A$2:$A$10,0))),1),""))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IF(OR(A300="",D300=""),"",IFERROR(ROUND(D300*IF(INDEX(Programmes!$L$2:$L$10,MATCH(A300,Programmes!$A$2:$A$10,0))="",INDEX(Programmes!$K$2:$K$10,MATCH(A300,Programmes!$A$2:$A$10,0)),INDEX(Programmes!$L$2:$L$10,MATCH(A300,Programmes!$A$2:$A$10,0))),1),""))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IF(OR(A301="",D301=""),"",IFERROR(ROUND(D301*IF(INDEX(Programmes!$L$2:$L$10,MATCH(A301,Programmes!$A$2:$A$10,0))="",INDEX(Programmes!$K$2:$K$10,MATCH(A301,Programmes!$A$2:$A$10,0)),INDEX(Programmes!$L$2:$L$10,MATCH(A301,Programmes!$A$2:$A$10,0))),1),""))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IF(OR(A302="",D302=""),"",IFERROR(ROUND(D302*IF(INDEX(Programmes!$L$2:$L$10,MATCH(A302,Programmes!$A$2:$A$10,0))="",INDEX(Programmes!$K$2:$K$10,MATCH(A302,Programmes!$A$2:$A$10,0)),INDEX(Programmes!$L$2:$L$10,MATCH(A302,Programmes!$A$2:$A$10,0))),1),""))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IF(OR(A303="",D303=""),"",IFERROR(ROUND(D303*IF(INDEX(Programmes!$L$2:$L$10,MATCH(A303,Programmes!$A$2:$A$10,0))="",INDEX(Programmes!$K$2:$K$10,MATCH(A303,Programmes!$A$2:$A$10,0)),INDEX(Programmes!$L$2:$L$10,MATCH(A303,Programmes!$A$2:$A$10,0))),1),""))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IF(OR(A304="",D304=""),"",IFERROR(ROUND(D304*IF(INDEX(Programmes!$L$2:$L$10,MATCH(A304,Programmes!$A$2:$A$10,0))="",INDEX(Programmes!$K$2:$K$10,MATCH(A304,Programmes!$A$2:$A$10,0)),INDEX(Programmes!$L$2:$L$10,MATCH(A304,Programmes!$A$2:$A$10,0))),1),""))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IF(OR(A305="",D305=""),"",IFERROR(ROUND(D305*IF(INDEX(Programmes!$L$2:$L$10,MATCH(A305,Programmes!$A$2:$A$10,0))="",INDEX(Programmes!$K$2:$K$10,MATCH(A305,Programmes!$A$2:$A$10,0)),INDEX(Programmes!$L$2:$L$10,MATCH(A305,Programmes!$A$2:$A$10,0))),1),""))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IF(OR(A306="",D306=""),"",IFERROR(ROUND(D306*IF(INDEX(Programmes!$L$2:$L$10,MATCH(A306,Programmes!$A$2:$A$10,0))="",INDEX(Programmes!$K$2:$K$10,MATCH(A306,Programmes!$A$2:$A$10,0)),INDEX(Programmes!$L$2:$L$10,MATCH(A306,Programmes!$A$2:$A$10,0))),1),""))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IF(OR(A307="",D307=""),"",IFERROR(ROUND(D307*IF(INDEX(Programmes!$L$2:$L$10,MATCH(A307,Programmes!$A$2:$A$10,0))="",INDEX(Programmes!$K$2:$K$10,MATCH(A307,Programmes!$A$2:$A$10,0)),INDEX(Programmes!$L$2:$L$10,MATCH(A307,Programmes!$A$2:$A$10,0))),1),""))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IF(OR(A308="",D308=""),"",IFERROR(ROUND(D308*IF(INDEX(Programmes!$L$2:$L$10,MATCH(A308,Programmes!$A$2:$A$10,0))="",INDEX(Programmes!$K$2:$K$10,MATCH(A308,Programmes!$A$2:$A$10,0)),INDEX(Programmes!$L$2:$L$10,MATCH(A308,Programmes!$A$2:$A$10,0))),1),""))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IF(OR(A309="",D309=""),"",IFERROR(ROUND(D309*IF(INDEX(Programmes!$L$2:$L$10,MATCH(A309,Programmes!$A$2:$A$10,0))="",INDEX(Programmes!$K$2:$K$10,MATCH(A309,Programmes!$A$2:$A$10,0)),INDEX(Programmes!$L$2:$L$10,MATCH(A309,Programmes!$A$2:$A$10,0))),1),""))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IF(OR(A310="",D310=""),"",IFERROR(ROUND(D310*IF(INDEX(Programmes!$L$2:$L$10,MATCH(A310,Programmes!$A$2:$A$10,0))="",INDEX(Programmes!$K$2:$K$10,MATCH(A310,Programmes!$A$2:$A$10,0)),INDEX(Programmes!$L$2:$L$10,MATCH(A310,Programmes!$A$2:$A$10,0))),1),""))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IF(OR(A311="",D311=""),"",IFERROR(ROUND(D311*IF(INDEX(Programmes!$L$2:$L$10,MATCH(A311,Programmes!$A$2:$A$10,0))="",INDEX(Programmes!$K$2:$K$10,MATCH(A311,Programmes!$A$2:$A$10,0)),INDEX(Programmes!$L$2:$L$10,MATCH(A311,Programmes!$A$2:$A$10,0))),1),""))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IF(OR(A312="",D312=""),"",IFERROR(ROUND(D312*IF(INDEX(Programmes!$L$2:$L$10,MATCH(A312,Programmes!$A$2:$A$10,0))="",INDEX(Programmes!$K$2:$K$10,MATCH(A312,Programmes!$A$2:$A$10,0)),INDEX(Programmes!$L$2:$L$10,MATCH(A312,Programmes!$A$2:$A$10,0))),1),""))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IF(OR(A313="",D313=""),"",IFERROR(ROUND(D313*IF(INDEX(Programmes!$L$2:$L$10,MATCH(A313,Programmes!$A$2:$A$10,0))="",INDEX(Programmes!$K$2:$K$10,MATCH(A313,Programmes!$A$2:$A$10,0)),INDEX(Programmes!$L$2:$L$10,MATCH(A313,Programmes!$A$2:$A$10,0))),1),""))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IF(OR(A314="",D314=""),"",IFERROR(ROUND(D314*IF(INDEX(Programmes!$L$2:$L$10,MATCH(A314,Programmes!$A$2:$A$10,0))="",INDEX(Programmes!$K$2:$K$10,MATCH(A314,Programmes!$A$2:$A$10,0)),INDEX(Programmes!$L$2:$L$10,MATCH(A314,Programmes!$A$2:$A$10,0))),1),""))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IF(OR(A315="",D315=""),"",IFERROR(ROUND(D315*IF(INDEX(Programmes!$L$2:$L$10,MATCH(A315,Programmes!$A$2:$A$10,0))="",INDEX(Programmes!$K$2:$K$10,MATCH(A315,Programmes!$A$2:$A$10,0)),INDEX(Programmes!$L$2:$L$10,MATCH(A315,Programmes!$A$2:$A$10,0))),1),""))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IF(OR(A316="",D316=""),"",IFERROR(ROUND(D316*IF(INDEX(Programmes!$L$2:$L$10,MATCH(A316,Programmes!$A$2:$A$10,0))="",INDEX(Programmes!$K$2:$K$10,MATCH(A316,Programmes!$A$2:$A$10,0)),INDEX(Programmes!$L$2:$L$10,MATCH(A316,Programmes!$A$2:$A$10,0))),1),""))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IF(OR(A317="",D317=""),"",IFERROR(ROUND(D317*IF(INDEX(Programmes!$L$2:$L$10,MATCH(A317,Programmes!$A$2:$A$10,0))="",INDEX(Programmes!$K$2:$K$10,MATCH(A317,Programmes!$A$2:$A$10,0)),INDEX(Programmes!$L$2:$L$10,MATCH(A317,Programmes!$A$2:$A$10,0))),1),""))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IF(OR(A318="",D318=""),"",IFERROR(ROUND(D318*IF(INDEX(Programmes!$L$2:$L$10,MATCH(A318,Programmes!$A$2:$A$10,0))="",INDEX(Programmes!$K$2:$K$10,MATCH(A318,Programmes!$A$2:$A$10,0)),INDEX(Programmes!$L$2:$L$10,MATCH(A318,Programmes!$A$2:$A$10,0))),1),""))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IF(OR(A319="",D319=""),"",IFERROR(ROUND(D319*IF(INDEX(Programmes!$L$2:$L$10,MATCH(A319,Programmes!$A$2:$A$10,0))="",INDEX(Programmes!$K$2:$K$10,MATCH(A319,Programmes!$A$2:$A$10,0)),INDEX(Programmes!$L$2:$L$10,MATCH(A319,Programmes!$A$2:$A$10,0))),1),""))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IF(OR(A320="",D320=""),"",IFERROR(ROUND(D320*IF(INDEX(Programmes!$L$2:$L$10,MATCH(A320,Programmes!$A$2:$A$10,0))="",INDEX(Programmes!$K$2:$K$10,MATCH(A320,Programmes!$A$2:$A$10,0)),INDEX(Programmes!$L$2:$L$10,MATCH(A320,Programmes!$A$2:$A$10,0))),1),""))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IF(OR(A321="",D321=""),"",IFERROR(ROUND(D321*IF(INDEX(Programmes!$L$2:$L$10,MATCH(A321,Programmes!$A$2:$A$10,0))="",INDEX(Programmes!$K$2:$K$10,MATCH(A321,Programmes!$A$2:$A$10,0)),INDEX(Programmes!$L$2:$L$10,MATCH(A321,Programmes!$A$2:$A$10,0))),1),""))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IF(OR(A322="",D322=""),"",IFERROR(ROUND(D322*IF(INDEX(Programmes!$L$2:$L$10,MATCH(A322,Programmes!$A$2:$A$10,0))="",INDEX(Programmes!$K$2:$K$10,MATCH(A322,Programmes!$A$2:$A$10,0)),INDEX(Programmes!$L$2:$L$10,MATCH(A322,Programmes!$A$2:$A$10,0))),1),""))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IF(OR(A323="",D323=""),"",IFERROR(ROUND(D323*IF(INDEX(Programmes!$L$2:$L$10,MATCH(A323,Programmes!$A$2:$A$10,0))="",INDEX(Programmes!$K$2:$K$10,MATCH(A323,Programmes!$A$2:$A$10,0)),INDEX(Programmes!$L$2:$L$10,MATCH(A323,Programmes!$A$2:$A$10,0))),1),""))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IF(OR(A324="",D324=""),"",IFERROR(ROUND(D324*IF(INDEX(Programmes!$L$2:$L$10,MATCH(A324,Programmes!$A$2:$A$10,0))="",INDEX(Programmes!$K$2:$K$10,MATCH(A324,Programmes!$A$2:$A$10,0)),INDEX(Programmes!$L$2:$L$10,MATCH(A324,Programmes!$A$2:$A$10,0))),1),""))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IF(OR(A325="",D325=""),"",IFERROR(ROUND(D325*IF(INDEX(Programmes!$L$2:$L$10,MATCH(A325,Programmes!$A$2:$A$10,0))="",INDEX(Programmes!$K$2:$K$10,MATCH(A325,Programmes!$A$2:$A$10,0)),INDEX(Programmes!$L$2:$L$10,MATCH(A325,Programmes!$A$2:$A$10,0))),1),""))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IF(OR(A326="",D326=""),"",IFERROR(ROUND(D326*IF(INDEX(Programmes!$L$2:$L$10,MATCH(A326,Programmes!$A$2:$A$10,0))="",INDEX(Programmes!$K$2:$K$10,MATCH(A326,Programmes!$A$2:$A$10,0)),INDEX(Programmes!$L$2:$L$10,MATCH(A326,Programmes!$A$2:$A$10,0))),1),""))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IF(OR(A327="",D327=""),"",IFERROR(ROUND(D327*IF(INDEX(Programmes!$L$2:$L$10,MATCH(A327,Programmes!$A$2:$A$10,0))="",INDEX(Programmes!$K$2:$K$10,MATCH(A327,Programmes!$A$2:$A$10,0)),INDEX(Programmes!$L$2:$L$10,MATCH(A327,Programmes!$A$2:$A$10,0))),1),""))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IF(OR(A328="",D328=""),"",IFERROR(ROUND(D328*IF(INDEX(Programmes!$L$2:$L$10,MATCH(A328,Programmes!$A$2:$A$10,0))="",INDEX(Programmes!$K$2:$K$10,MATCH(A328,Programmes!$A$2:$A$10,0)),INDEX(Programmes!$L$2:$L$10,MATCH(A328,Programmes!$A$2:$A$10,0))),1),""))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IF(OR(A329="",D329=""),"",IFERROR(ROUND(D329*IF(INDEX(Programmes!$L$2:$L$10,MATCH(A329,Programmes!$A$2:$A$10,0))="",INDEX(Programmes!$K$2:$K$10,MATCH(A329,Programmes!$A$2:$A$10,0)),INDEX(Programmes!$L$2:$L$10,MATCH(A329,Programmes!$A$2:$A$10,0))),1),""))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IF(OR(A330="",D330=""),"",IFERROR(ROUND(D330*IF(INDEX(Programmes!$L$2:$L$10,MATCH(A330,Programmes!$A$2:$A$10,0))="",INDEX(Programmes!$K$2:$K$10,MATCH(A330,Programmes!$A$2:$A$10,0)),INDEX(Programmes!$L$2:$L$10,MATCH(A330,Programmes!$A$2:$A$10,0))),1),""))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IF(OR(A331="",D331=""),"",IFERROR(ROUND(D331*IF(INDEX(Programmes!$L$2:$L$10,MATCH(A331,Programmes!$A$2:$A$10,0))="",INDEX(Programmes!$K$2:$K$10,MATCH(A331,Programmes!$A$2:$A$10,0)),INDEX(Programmes!$L$2:$L$10,MATCH(A331,Programmes!$A$2:$A$10,0))),1),""))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IF(OR(A332="",D332=""),"",IFERROR(ROUND(D332*IF(INDEX(Programmes!$L$2:$L$10,MATCH(A332,Programmes!$A$2:$A$10,0))="",INDEX(Programmes!$K$2:$K$10,MATCH(A332,Programmes!$A$2:$A$10,0)),INDEX(Programmes!$L$2:$L$10,MATCH(A332,Programmes!$A$2:$A$10,0))),1),""))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IF(OR(A333="",D333=""),"",IFERROR(ROUND(D333*IF(INDEX(Programmes!$L$2:$L$10,MATCH(A333,Programmes!$A$2:$A$10,0))="",INDEX(Programmes!$K$2:$K$10,MATCH(A333,Programmes!$A$2:$A$10,0)),INDEX(Programmes!$L$2:$L$10,MATCH(A333,Programmes!$A$2:$A$10,0))),1),""))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IF(OR(A334="",D334=""),"",IFERROR(ROUND(D334*IF(INDEX(Programmes!$L$2:$L$10,MATCH(A334,Programmes!$A$2:$A$10,0))="",INDEX(Programmes!$K$2:$K$10,MATCH(A334,Programmes!$A$2:$A$10,0)),INDEX(Programmes!$L$2:$L$10,MATCH(A334,Programmes!$A$2:$A$10,0))),1),""))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IF(OR(A335="",D335=""),"",IFERROR(ROUND(D335*IF(INDEX(Programmes!$L$2:$L$10,MATCH(A335,Programmes!$A$2:$A$10,0))="",INDEX(Programmes!$K$2:$K$10,MATCH(A335,Programmes!$A$2:$A$10,0)),INDEX(Programmes!$L$2:$L$10,MATCH(A335,Programmes!$A$2:$A$10,0))),1),""))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IF(OR(A336="",D336=""),"",IFERROR(ROUND(D336*IF(INDEX(Programmes!$L$2:$L$10,MATCH(A336,Programmes!$A$2:$A$10,0))="",INDEX(Programmes!$K$2:$K$10,MATCH(A336,Programmes!$A$2:$A$10,0)),INDEX(Programmes!$L$2:$L$10,MATCH(A336,Programmes!$A$2:$A$10,0))),1),""))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IF(OR(A337="",D337=""),"",IFERROR(ROUND(D337*IF(INDEX(Programmes!$L$2:$L$10,MATCH(A337,Programmes!$A$2:$A$10,0))="",INDEX(Programmes!$K$2:$K$10,MATCH(A337,Programmes!$A$2:$A$10,0)),INDEX(Programmes!$L$2:$L$10,MATCH(A337,Programmes!$A$2:$A$10,0))),1),""))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IF(OR(A338="",D338=""),"",IFERROR(ROUND(D338*IF(INDEX(Programmes!$L$2:$L$10,MATCH(A338,Programmes!$A$2:$A$10,0))="",INDEX(Programmes!$K$2:$K$10,MATCH(A338,Programmes!$A$2:$A$10,0)),INDEX(Programmes!$L$2:$L$10,MATCH(A338,Programmes!$A$2:$A$10,0))),1),""))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IF(OR(A339="",D339=""),"",IFERROR(ROUND(D339*IF(INDEX(Programmes!$L$2:$L$10,MATCH(A339,Programmes!$A$2:$A$10,0))="",INDEX(Programmes!$K$2:$K$10,MATCH(A339,Programmes!$A$2:$A$10,0)),INDEX(Programmes!$L$2:$L$10,MATCH(A339,Programmes!$A$2:$A$10,0))),1),""))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IF(OR(A340="",D340=""),"",IFERROR(ROUND(D340*IF(INDEX(Programmes!$L$2:$L$10,MATCH(A340,Programmes!$A$2:$A$10,0))="",INDEX(Programmes!$K$2:$K$10,MATCH(A340,Programmes!$A$2:$A$10,0)),INDEX(Programmes!$L$2:$L$10,MATCH(A340,Programmes!$A$2:$A$10,0))),1),""))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IF(OR(A341="",D341=""),"",IFERROR(ROUND(D341*IF(INDEX(Programmes!$L$2:$L$10,MATCH(A341,Programmes!$A$2:$A$10,0))="",INDEX(Programmes!$K$2:$K$10,MATCH(A341,Programmes!$A$2:$A$10,0)),INDEX(Programmes!$L$2:$L$10,MATCH(A341,Programmes!$A$2:$A$10,0))),1),""))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IF(OR(A342="",D342=""),"",IFERROR(ROUND(D342*IF(INDEX(Programmes!$L$2:$L$10,MATCH(A342,Programmes!$A$2:$A$10,0))="",INDEX(Programmes!$K$2:$K$10,MATCH(A342,Programmes!$A$2:$A$10,0)),INDEX(Programmes!$L$2:$L$10,MATCH(A342,Programmes!$A$2:$A$10,0))),1),""))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IF(OR(A343="",D343=""),"",IFERROR(ROUND(D343*IF(INDEX(Programmes!$L$2:$L$10,MATCH(A343,Programmes!$A$2:$A$10,0))="",INDEX(Programmes!$K$2:$K$10,MATCH(A343,Programmes!$A$2:$A$10,0)),INDEX(Programmes!$L$2:$L$10,MATCH(A343,Programmes!$A$2:$A$10,0))),1),""))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IF(OR(A344="",D344=""),"",IFERROR(ROUND(D344*IF(INDEX(Programmes!$L$2:$L$10,MATCH(A344,Programmes!$A$2:$A$10,0))="",INDEX(Programmes!$K$2:$K$10,MATCH(A344,Programmes!$A$2:$A$10,0)),INDEX(Programmes!$L$2:$L$10,MATCH(A344,Programmes!$A$2:$A$10,0))),1),""))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IF(OR(A345="",D345=""),"",IFERROR(ROUND(D345*IF(INDEX(Programmes!$L$2:$L$10,MATCH(A345,Programmes!$A$2:$A$10,0))="",INDEX(Programmes!$K$2:$K$10,MATCH(A345,Programmes!$A$2:$A$10,0)),INDEX(Programmes!$L$2:$L$10,MATCH(A345,Programmes!$A$2:$A$10,0))),1),""))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IF(OR(A346="",D346=""),"",IFERROR(ROUND(D346*IF(INDEX(Programmes!$L$2:$L$10,MATCH(A346,Programmes!$A$2:$A$10,0))="",INDEX(Programmes!$K$2:$K$10,MATCH(A346,Programmes!$A$2:$A$10,0)),INDEX(Programmes!$L$2:$L$10,MATCH(A346,Programmes!$A$2:$A$10,0))),1),""))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IF(OR(A347="",D347=""),"",IFERROR(ROUND(D347*IF(INDEX(Programmes!$L$2:$L$10,MATCH(A347,Programmes!$A$2:$A$10,0))="",INDEX(Programmes!$K$2:$K$10,MATCH(A347,Programmes!$A$2:$A$10,0)),INDEX(Programmes!$L$2:$L$10,MATCH(A347,Programmes!$A$2:$A$10,0))),1),""))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IF(OR(A348="",D348=""),"",IFERROR(ROUND(D348*IF(INDEX(Programmes!$L$2:$L$10,MATCH(A348,Programmes!$A$2:$A$10,0))="",INDEX(Programmes!$K$2:$K$10,MATCH(A348,Programmes!$A$2:$A$10,0)),INDEX(Programmes!$L$2:$L$10,MATCH(A348,Programmes!$A$2:$A$10,0))),1),""))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IF(OR(A349="",D349=""),"",IFERROR(ROUND(D349*IF(INDEX(Programmes!$L$2:$L$10,MATCH(A349,Programmes!$A$2:$A$10,0))="",INDEX(Programmes!$K$2:$K$10,MATCH(A349,Programmes!$A$2:$A$10,0)),INDEX(Programmes!$L$2:$L$10,MATCH(A349,Programmes!$A$2:$A$10,0))),1),""))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IF(OR(A350="",D350=""),"",IFERROR(ROUND(D350*IF(INDEX(Programmes!$L$2:$L$10,MATCH(A350,Programmes!$A$2:$A$10,0))="",INDEX(Programmes!$K$2:$K$10,MATCH(A350,Programmes!$A$2:$A$10,0)),INDEX(Programmes!$L$2:$L$10,MATCH(A350,Programmes!$A$2:$A$10,0))),1),""))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IF(OR(A351="",D351=""),"",IFERROR(ROUND(D351*IF(INDEX(Programmes!$L$2:$L$10,MATCH(A351,Programmes!$A$2:$A$10,0))="",INDEX(Programmes!$K$2:$K$10,MATCH(A351,Programmes!$A$2:$A$10,0)),INDEX(Programmes!$L$2:$L$10,MATCH(A351,Programmes!$A$2:$A$10,0))),1),""))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IF(OR(A352="",D352=""),"",IFERROR(ROUND(D352*IF(INDEX(Programmes!$L$2:$L$10,MATCH(A352,Programmes!$A$2:$A$10,0))="",INDEX(Programmes!$K$2:$K$10,MATCH(A352,Programmes!$A$2:$A$10,0)),INDEX(Programmes!$L$2:$L$10,MATCH(A352,Programmes!$A$2:$A$10,0))),1),""))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IF(OR(A353="",D353=""),"",IFERROR(ROUND(D353*IF(INDEX(Programmes!$L$2:$L$10,MATCH(A353,Programmes!$A$2:$A$10,0))="",INDEX(Programmes!$K$2:$K$10,MATCH(A353,Programmes!$A$2:$A$10,0)),INDEX(Programmes!$L$2:$L$10,MATCH(A353,Programmes!$A$2:$A$10,0))),1),""))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IF(OR(A354="",D354=""),"",IFERROR(ROUND(D354*IF(INDEX(Programmes!$L$2:$L$10,MATCH(A354,Programmes!$A$2:$A$10,0))="",INDEX(Programmes!$K$2:$K$10,MATCH(A354,Programmes!$A$2:$A$10,0)),INDEX(Programmes!$L$2:$L$10,MATCH(A354,Programmes!$A$2:$A$10,0))),1),""))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IF(OR(A355="",D355=""),"",IFERROR(ROUND(D355*IF(INDEX(Programmes!$L$2:$L$10,MATCH(A355,Programmes!$A$2:$A$10,0))="",INDEX(Programmes!$K$2:$K$10,MATCH(A355,Programmes!$A$2:$A$10,0)),INDEX(Programmes!$L$2:$L$10,MATCH(A355,Programmes!$A$2:$A$10,0))),1),""))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IF(OR(A356="",D356=""),"",IFERROR(ROUND(D356*IF(INDEX(Programmes!$L$2:$L$10,MATCH(A356,Programmes!$A$2:$A$10,0))="",INDEX(Programmes!$K$2:$K$10,MATCH(A356,Programmes!$A$2:$A$10,0)),INDEX(Programmes!$L$2:$L$10,MATCH(A356,Programmes!$A$2:$A$10,0))),1),""))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IF(OR(A357="",D357=""),"",IFERROR(ROUND(D357*IF(INDEX(Programmes!$L$2:$L$10,MATCH(A357,Programmes!$A$2:$A$10,0))="",INDEX(Programmes!$K$2:$K$10,MATCH(A357,Programmes!$A$2:$A$10,0)),INDEX(Programmes!$L$2:$L$10,MATCH(A357,Programmes!$A$2:$A$10,0))),1),""))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IF(OR(A358="",D358=""),"",IFERROR(ROUND(D358*IF(INDEX(Programmes!$L$2:$L$10,MATCH(A358,Programmes!$A$2:$A$10,0))="",INDEX(Programmes!$K$2:$K$10,MATCH(A358,Programmes!$A$2:$A$10,0)),INDEX(Programmes!$L$2:$L$10,MATCH(A358,Programmes!$A$2:$A$10,0))),1),""))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IF(OR(A359="",D359=""),"",IFERROR(ROUND(D359*IF(INDEX(Programmes!$L$2:$L$10,MATCH(A359,Programmes!$A$2:$A$10,0))="",INDEX(Programmes!$K$2:$K$10,MATCH(A359,Programmes!$A$2:$A$10,0)),INDEX(Programmes!$L$2:$L$10,MATCH(A359,Programmes!$A$2:$A$10,0))),1),""))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IF(OR(A360="",D360=""),"",IFERROR(ROUND(D360*IF(INDEX(Programmes!$L$2:$L$10,MATCH(A360,Programmes!$A$2:$A$10,0))="",INDEX(Programmes!$K$2:$K$10,MATCH(A360,Programmes!$A$2:$A$10,0)),INDEX(Programmes!$L$2:$L$10,MATCH(A360,Programmes!$A$2:$A$10,0))),1),""))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IF(OR(A361="",D361=""),"",IFERROR(ROUND(D361*IF(INDEX(Programmes!$L$2:$L$10,MATCH(A361,Programmes!$A$2:$A$10,0))="",INDEX(Programmes!$K$2:$K$10,MATCH(A361,Programmes!$A$2:$A$10,0)),INDEX(Programmes!$L$2:$L$10,MATCH(A361,Programmes!$A$2:$A$10,0))),1),""))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IF(OR(A362="",D362=""),"",IFERROR(ROUND(D362*IF(INDEX(Programmes!$L$2:$L$10,MATCH(A362,Programmes!$A$2:$A$10,0))="",INDEX(Programmes!$K$2:$K$10,MATCH(A362,Programmes!$A$2:$A$10,0)),INDEX(Programmes!$L$2:$L$10,MATCH(A362,Programmes!$A$2:$A$10,0))),1),""))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IF(OR(A363="",D363=""),"",IFERROR(ROUND(D363*IF(INDEX(Programmes!$L$2:$L$10,MATCH(A363,Programmes!$A$2:$A$10,0))="",INDEX(Programmes!$K$2:$K$10,MATCH(A363,Programmes!$A$2:$A$10,0)),INDEX(Programmes!$L$2:$L$10,MATCH(A363,Programmes!$A$2:$A$10,0))),1),""))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IF(OR(A364="",D364=""),"",IFERROR(ROUND(D364*IF(INDEX(Programmes!$L$2:$L$10,MATCH(A364,Programmes!$A$2:$A$10,0))="",INDEX(Programmes!$K$2:$K$10,MATCH(A364,Programmes!$A$2:$A$10,0)),INDEX(Programmes!$L$2:$L$10,MATCH(A364,Programmes!$A$2:$A$10,0))),1),""))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IF(OR(A365="",D365=""),"",IFERROR(ROUND(D365*IF(INDEX(Programmes!$L$2:$L$10,MATCH(A365,Programmes!$A$2:$A$10,0))="",INDEX(Programmes!$K$2:$K$10,MATCH(A365,Programmes!$A$2:$A$10,0)),INDEX(Programmes!$L$2:$L$10,MATCH(A365,Programmes!$A$2:$A$10,0))),1),""))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IF(OR(A366="",D366=""),"",IFERROR(ROUND(D366*IF(INDEX(Programmes!$L$2:$L$10,MATCH(A366,Programmes!$A$2:$A$10,0))="",INDEX(Programmes!$K$2:$K$10,MATCH(A366,Programmes!$A$2:$A$10,0)),INDEX(Programmes!$L$2:$L$10,MATCH(A366,Programmes!$A$2:$A$10,0))),1),""))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IF(OR(A367="",D367=""),"",IFERROR(ROUND(D367*IF(INDEX(Programmes!$L$2:$L$10,MATCH(A367,Programmes!$A$2:$A$10,0))="",INDEX(Programmes!$K$2:$K$10,MATCH(A367,Programmes!$A$2:$A$10,0)),INDEX(Programmes!$L$2:$L$10,MATCH(A367,Programmes!$A$2:$A$10,0))),1),""))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IF(OR(A368="",D368=""),"",IFERROR(ROUND(D368*IF(INDEX(Programmes!$L$2:$L$10,MATCH(A368,Programmes!$A$2:$A$10,0))="",INDEX(Programmes!$K$2:$K$10,MATCH(A368,Programmes!$A$2:$A$10,0)),INDEX(Programmes!$L$2:$L$10,MATCH(A368,Programmes!$A$2:$A$10,0))),1),""))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IF(OR(A369="",D369=""),"",IFERROR(ROUND(D369*IF(INDEX(Programmes!$L$2:$L$10,MATCH(A369,Programmes!$A$2:$A$10,0))="",INDEX(Programmes!$K$2:$K$10,MATCH(A369,Programmes!$A$2:$A$10,0)),INDEX(Programmes!$L$2:$L$10,MATCH(A369,Programmes!$A$2:$A$10,0))),1),""))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IF(OR(A370="",D370=""),"",IFERROR(ROUND(D370*IF(INDEX(Programmes!$L$2:$L$10,MATCH(A370,Programmes!$A$2:$A$10,0))="",INDEX(Programmes!$K$2:$K$10,MATCH(A370,Programmes!$A$2:$A$10,0)),INDEX(Programmes!$L$2:$L$10,MATCH(A370,Programmes!$A$2:$A$10,0))),1),""))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IF(OR(A371="",D371=""),"",IFERROR(ROUND(D371*IF(INDEX(Programmes!$L$2:$L$10,MATCH(A371,Programmes!$A$2:$A$10,0))="",INDEX(Programmes!$K$2:$K$10,MATCH(A371,Programmes!$A$2:$A$10,0)),INDEX(Programmes!$L$2:$L$10,MATCH(A371,Programmes!$A$2:$A$10,0))),1),""))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IF(OR(A372="",D372=""),"",IFERROR(ROUND(D372*IF(INDEX(Programmes!$L$2:$L$10,MATCH(A372,Programmes!$A$2:$A$10,0))="",INDEX(Programmes!$K$2:$K$10,MATCH(A372,Programmes!$A$2:$A$10,0)),INDEX(Programmes!$L$2:$L$10,MATCH(A372,Programmes!$A$2:$A$10,0))),1),""))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IF(OR(A373="",D373=""),"",IFERROR(ROUND(D373*IF(INDEX(Programmes!$L$2:$L$10,MATCH(A373,Programmes!$A$2:$A$10,0))="",INDEX(Programmes!$K$2:$K$10,MATCH(A373,Programmes!$A$2:$A$10,0)),INDEX(Programmes!$L$2:$L$10,MATCH(A373,Programmes!$A$2:$A$10,0))),1),""))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IF(OR(A374="",D374=""),"",IFERROR(ROUND(D374*IF(INDEX(Programmes!$L$2:$L$10,MATCH(A374,Programmes!$A$2:$A$10,0))="",INDEX(Programmes!$K$2:$K$10,MATCH(A374,Programmes!$A$2:$A$10,0)),INDEX(Programmes!$L$2:$L$10,MATCH(A374,Programmes!$A$2:$A$10,0))),1),""))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IF(OR(A375="",D375=""),"",IFERROR(ROUND(D375*IF(INDEX(Programmes!$L$2:$L$10,MATCH(A375,Programmes!$A$2:$A$10,0))="",INDEX(Programmes!$K$2:$K$10,MATCH(A375,Programmes!$A$2:$A$10,0)),INDEX(Programmes!$L$2:$L$10,MATCH(A375,Programmes!$A$2:$A$10,0))),1),""))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IF(OR(A376="",D376=""),"",IFERROR(ROUND(D376*IF(INDEX(Programmes!$L$2:$L$10,MATCH(A376,Programmes!$A$2:$A$10,0))="",INDEX(Programmes!$K$2:$K$10,MATCH(A376,Programmes!$A$2:$A$10,0)),INDEX(Programmes!$L$2:$L$10,MATCH(A376,Programmes!$A$2:$A$10,0))),1),""))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IF(OR(A377="",D377=""),"",IFERROR(ROUND(D377*IF(INDEX(Programmes!$L$2:$L$10,MATCH(A377,Programmes!$A$2:$A$10,0))="",INDEX(Programmes!$K$2:$K$10,MATCH(A377,Programmes!$A$2:$A$10,0)),INDEX(Programmes!$L$2:$L$10,MATCH(A377,Programmes!$A$2:$A$10,0))),1),""))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IF(OR(A378="",D378=""),"",IFERROR(ROUND(D378*IF(INDEX(Programmes!$L$2:$L$10,MATCH(A378,Programmes!$A$2:$A$10,0))="",INDEX(Programmes!$K$2:$K$10,MATCH(A378,Programmes!$A$2:$A$10,0)),INDEX(Programmes!$L$2:$L$10,MATCH(A378,Programmes!$A$2:$A$10,0))),1),""))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IF(OR(A379="",D379=""),"",IFERROR(ROUND(D379*IF(INDEX(Programmes!$L$2:$L$10,MATCH(A379,Programmes!$A$2:$A$10,0))="",INDEX(Programmes!$K$2:$K$10,MATCH(A379,Programmes!$A$2:$A$10,0)),INDEX(Programmes!$L$2:$L$10,MATCH(A379,Programmes!$A$2:$A$10,0))),1),""))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IF(OR(A380="",D380=""),"",IFERROR(ROUND(D380*IF(INDEX(Programmes!$L$2:$L$10,MATCH(A380,Programmes!$A$2:$A$10,0))="",INDEX(Programmes!$K$2:$K$10,MATCH(A380,Programmes!$A$2:$A$10,0)),INDEX(Programmes!$L$2:$L$10,MATCH(A380,Programmes!$A$2:$A$10,0))),1),""))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IF(OR(A381="",D381=""),"",IFERROR(ROUND(D381*IF(INDEX(Programmes!$L$2:$L$10,MATCH(A381,Programmes!$A$2:$A$10,0))="",INDEX(Programmes!$K$2:$K$10,MATCH(A381,Programmes!$A$2:$A$10,0)),INDEX(Programmes!$L$2:$L$10,MATCH(A381,Programmes!$A$2:$A$10,0))),1),""))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IF(OR(A382="",D382=""),"",IFERROR(ROUND(D382*IF(INDEX(Programmes!$L$2:$L$10,MATCH(A382,Programmes!$A$2:$A$10,0))="",INDEX(Programmes!$K$2:$K$10,MATCH(A382,Programmes!$A$2:$A$10,0)),INDEX(Programmes!$L$2:$L$10,MATCH(A382,Programmes!$A$2:$A$10,0))),1),""))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IF(OR(A383="",D383=""),"",IFERROR(ROUND(D383*IF(INDEX(Programmes!$L$2:$L$10,MATCH(A383,Programmes!$A$2:$A$10,0))="",INDEX(Programmes!$K$2:$K$10,MATCH(A383,Programmes!$A$2:$A$10,0)),INDEX(Programmes!$L$2:$L$10,MATCH(A383,Programmes!$A$2:$A$10,0))),1),""))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IF(OR(A384="",D384=""),"",IFERROR(ROUND(D384*IF(INDEX(Programmes!$L$2:$L$10,MATCH(A384,Programmes!$A$2:$A$10,0))="",INDEX(Programmes!$K$2:$K$10,MATCH(A384,Programmes!$A$2:$A$10,0)),INDEX(Programmes!$L$2:$L$10,MATCH(A384,Programmes!$A$2:$A$10,0))),1),""))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IF(OR(A385="",D385=""),"",IFERROR(ROUND(D385*IF(INDEX(Programmes!$L$2:$L$10,MATCH(A385,Programmes!$A$2:$A$10,0))="",INDEX(Programmes!$K$2:$K$10,MATCH(A385,Programmes!$A$2:$A$10,0)),INDEX(Programmes!$L$2:$L$10,MATCH(A385,Programmes!$A$2:$A$10,0))),1),""))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IF(OR(A386="",D386=""),"",IFERROR(ROUND(D386*IF(INDEX(Programmes!$L$2:$L$10,MATCH(A386,Programmes!$A$2:$A$10,0))="",INDEX(Programmes!$K$2:$K$10,MATCH(A386,Programmes!$A$2:$A$10,0)),INDEX(Programmes!$L$2:$L$10,MATCH(A386,Programmes!$A$2:$A$10,0))),1),""))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IF(OR(A387="",D387=""),"",IFERROR(ROUND(D387*IF(INDEX(Programmes!$L$2:$L$10,MATCH(A387,Programmes!$A$2:$A$10,0))="",INDEX(Programmes!$K$2:$K$10,MATCH(A387,Programmes!$A$2:$A$10,0)),INDEX(Programmes!$L$2:$L$10,MATCH(A387,Programmes!$A$2:$A$10,0))),1),""))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IF(OR(A388="",D388=""),"",IFERROR(ROUND(D388*IF(INDEX(Programmes!$L$2:$L$10,MATCH(A388,Programmes!$A$2:$A$10,0))="",INDEX(Programmes!$K$2:$K$10,MATCH(A388,Programmes!$A$2:$A$10,0)),INDEX(Programmes!$L$2:$L$10,MATCH(A388,Programmes!$A$2:$A$10,0))),1),""))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IF(OR(A389="",D389=""),"",IFERROR(ROUND(D389*IF(INDEX(Programmes!$L$2:$L$10,MATCH(A389,Programmes!$A$2:$A$10,0))="",INDEX(Programmes!$K$2:$K$10,MATCH(A389,Programmes!$A$2:$A$10,0)),INDEX(Programmes!$L$2:$L$10,MATCH(A389,Programmes!$A$2:$A$10,0))),1),""))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IF(OR(A390="",D390=""),"",IFERROR(ROUND(D390*IF(INDEX(Programmes!$L$2:$L$10,MATCH(A390,Programmes!$A$2:$A$10,0))="",INDEX(Programmes!$K$2:$K$10,MATCH(A390,Programmes!$A$2:$A$10,0)),INDEX(Programmes!$L$2:$L$10,MATCH(A390,Programmes!$A$2:$A$10,0))),1),""))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IF(OR(A391="",D391=""),"",IFERROR(ROUND(D391*IF(INDEX(Programmes!$L$2:$L$10,MATCH(A391,Programmes!$A$2:$A$10,0))="",INDEX(Programmes!$K$2:$K$10,MATCH(A391,Programmes!$A$2:$A$10,0)),INDEX(Programmes!$L$2:$L$10,MATCH(A391,Programmes!$A$2:$A$10,0))),1),""))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IF(OR(A392="",D392=""),"",IFERROR(ROUND(D392*IF(INDEX(Programmes!$L$2:$L$10,MATCH(A392,Programmes!$A$2:$A$10,0))="",INDEX(Programmes!$K$2:$K$10,MATCH(A392,Programmes!$A$2:$A$10,0)),INDEX(Programmes!$L$2:$L$10,MATCH(A392,Programmes!$A$2:$A$10,0))),1),""))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IF(OR(A393="",D393=""),"",IFERROR(ROUND(D393*IF(INDEX(Programmes!$L$2:$L$10,MATCH(A393,Programmes!$A$2:$A$10,0))="",INDEX(Programmes!$K$2:$K$10,MATCH(A393,Programmes!$A$2:$A$10,0)),INDEX(Programmes!$L$2:$L$10,MATCH(A393,Programmes!$A$2:$A$10,0))),1),""))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IF(OR(A394="",D394=""),"",IFERROR(ROUND(D394*IF(INDEX(Programmes!$L$2:$L$10,MATCH(A394,Programmes!$A$2:$A$10,0))="",INDEX(Programmes!$K$2:$K$10,MATCH(A394,Programmes!$A$2:$A$10,0)),INDEX(Programmes!$L$2:$L$10,MATCH(A394,Programmes!$A$2:$A$10,0))),1),""))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IF(OR(A395="",D395=""),"",IFERROR(ROUND(D395*IF(INDEX(Programmes!$L$2:$L$10,MATCH(A395,Programmes!$A$2:$A$10,0))="",INDEX(Programmes!$K$2:$K$10,MATCH(A395,Programmes!$A$2:$A$10,0)),INDEX(Programmes!$L$2:$L$10,MATCH(A395,Programmes!$A$2:$A$10,0))),1),""))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IF(OR(A396="",D396=""),"",IFERROR(ROUND(D396*IF(INDEX(Programmes!$L$2:$L$10,MATCH(A396,Programmes!$A$2:$A$10,0))="",INDEX(Programmes!$K$2:$K$10,MATCH(A396,Programmes!$A$2:$A$10,0)),INDEX(Programmes!$L$2:$L$10,MATCH(A396,Programmes!$A$2:$A$10,0))),1),""))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IF(OR(A397="",D397=""),"",IFERROR(ROUND(D397*IF(INDEX(Programmes!$L$2:$L$10,MATCH(A397,Programmes!$A$2:$A$10,0))="",INDEX(Programmes!$K$2:$K$10,MATCH(A397,Programmes!$A$2:$A$10,0)),INDEX(Programmes!$L$2:$L$10,MATCH(A397,Programmes!$A$2:$A$10,0))),1),""))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IF(OR(A398="",D398=""),"",IFERROR(ROUND(D398*IF(INDEX(Programmes!$L$2:$L$10,MATCH(A398,Programmes!$A$2:$A$10,0))="",INDEX(Programmes!$K$2:$K$10,MATCH(A398,Programmes!$A$2:$A$10,0)),INDEX(Programmes!$L$2:$L$10,MATCH(A398,Programmes!$A$2:$A$10,0))),1),""))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IF(OR(A399="",D399=""),"",IFERROR(ROUND(D399*IF(INDEX(Programmes!$L$2:$L$10,MATCH(A399,Programmes!$A$2:$A$10,0))="",INDEX(Programmes!$K$2:$K$10,MATCH(A399,Programmes!$A$2:$A$10,0)),INDEX(Programmes!$L$2:$L$10,MATCH(A399,Programmes!$A$2:$A$10,0))),1),""))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IF(OR(A400="",D400=""),"",IFERROR(ROUND(D400*IF(INDEX(Programmes!$L$2:$L$10,MATCH(A400,Programmes!$A$2:$A$10,0))="",INDEX(Programmes!$K$2:$K$10,MATCH(A400,Programmes!$A$2:$A$10,0)),INDEX(Programmes!$L$2:$L$10,MATCH(A400,Programmes!$A$2:$A$10,0))),1),""))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IF(OR(A401="",D401=""),"",IFERROR(ROUND(D401*IF(INDEX(Programmes!$L$2:$L$10,MATCH(A401,Programmes!$A$2:$A$10,0))="",INDEX(Programmes!$K$2:$K$10,MATCH(A401,Programmes!$A$2:$A$10,0)),INDEX(Programmes!$L$2:$L$10,MATCH(A401,Programmes!$A$2:$A$10,0))),1),""))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Lists!$A$2:$A$10</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63</v>
      </c>
      <c r="B1" s="11" t="s">
        <v>109</v>
      </c>
      <c r="C1" s="11" t="s">
        <v>141</v>
      </c>
      <c r="D1" s="11" t="s">
        <v>142</v>
      </c>
      <c r="E1" s="11" t="s">
        <v>143</v>
      </c>
      <c r="F1" s="11" t="s">
        <v>144</v>
      </c>
      <c r="G1" s="11" t="s">
        <v>114</v>
      </c>
    </row>
    <row r="2" customFormat="false" ht="15" hidden="false" customHeight="false" outlineLevel="0" collapsed="false">
      <c r="A2" s="12" t="s">
        <v>92</v>
      </c>
      <c r="B2" s="12" t="n">
        <v>1</v>
      </c>
      <c r="C2" s="12" t="n">
        <v>1</v>
      </c>
      <c r="D2" s="12" t="s">
        <v>145</v>
      </c>
      <c r="E2" s="12" t="s">
        <v>118</v>
      </c>
      <c r="F2" s="12" t="s">
        <v>146</v>
      </c>
      <c r="G2" s="12"/>
    </row>
    <row r="3" customFormat="false" ht="15" hidden="false" customHeight="false" outlineLevel="0" collapsed="false">
      <c r="A3" s="12" t="s">
        <v>92</v>
      </c>
      <c r="B3" s="12" t="n">
        <v>1</v>
      </c>
      <c r="C3" s="12" t="n">
        <v>2</v>
      </c>
      <c r="D3" s="12" t="s">
        <v>147</v>
      </c>
      <c r="E3" s="12" t="s">
        <v>118</v>
      </c>
      <c r="F3" s="12" t="s">
        <v>148</v>
      </c>
      <c r="G3" s="12"/>
    </row>
    <row r="4" customFormat="false" ht="15" hidden="false" customHeight="false" outlineLevel="0" collapsed="false">
      <c r="A4" s="12" t="s">
        <v>92</v>
      </c>
      <c r="B4" s="12" t="n">
        <v>1</v>
      </c>
      <c r="C4" s="12" t="n">
        <v>3</v>
      </c>
      <c r="D4" s="12" t="s">
        <v>149</v>
      </c>
      <c r="E4" s="12" t="s">
        <v>118</v>
      </c>
      <c r="F4" s="12" t="s">
        <v>150</v>
      </c>
      <c r="G4" s="12"/>
    </row>
    <row r="5" customFormat="false" ht="15" hidden="false" customHeight="false" outlineLevel="0" collapsed="false">
      <c r="A5" s="12" t="s">
        <v>92</v>
      </c>
      <c r="B5" s="12" t="n">
        <v>1</v>
      </c>
      <c r="C5" s="12" t="n">
        <v>4</v>
      </c>
      <c r="D5" s="12" t="s">
        <v>151</v>
      </c>
      <c r="E5" s="12" t="s">
        <v>118</v>
      </c>
      <c r="F5" s="12" t="s">
        <v>152</v>
      </c>
      <c r="G5" s="12"/>
    </row>
    <row r="6" customFormat="false" ht="15" hidden="false" customHeight="false" outlineLevel="0" collapsed="false">
      <c r="A6" s="12" t="s">
        <v>92</v>
      </c>
      <c r="B6" s="12" t="n">
        <v>2</v>
      </c>
      <c r="C6" s="12" t="n">
        <v>1</v>
      </c>
      <c r="D6" s="12" t="s">
        <v>35</v>
      </c>
      <c r="E6" s="12" t="s">
        <v>118</v>
      </c>
      <c r="F6" s="12" t="s">
        <v>153</v>
      </c>
      <c r="G6" s="12"/>
    </row>
    <row r="7" customFormat="false" ht="15" hidden="false" customHeight="false" outlineLevel="0" collapsed="false">
      <c r="A7" s="12" t="s">
        <v>92</v>
      </c>
      <c r="B7" s="12" t="n">
        <v>2</v>
      </c>
      <c r="C7" s="12" t="n">
        <v>2</v>
      </c>
      <c r="D7" s="12" t="s">
        <v>154</v>
      </c>
      <c r="E7" s="12" t="s">
        <v>118</v>
      </c>
      <c r="F7" s="12" t="s">
        <v>155</v>
      </c>
      <c r="G7" s="12"/>
    </row>
    <row r="8" customFormat="false" ht="15" hidden="false" customHeight="false" outlineLevel="0" collapsed="false">
      <c r="A8" s="12" t="s">
        <v>92</v>
      </c>
      <c r="B8" s="12" t="n">
        <v>2</v>
      </c>
      <c r="C8" s="12" t="n">
        <v>3</v>
      </c>
      <c r="D8" s="12" t="s">
        <v>156</v>
      </c>
      <c r="E8" s="12" t="s">
        <v>118</v>
      </c>
      <c r="F8" s="12" t="s">
        <v>157</v>
      </c>
      <c r="G8" s="12"/>
    </row>
    <row r="9" customFormat="false" ht="15" hidden="false" customHeight="false" outlineLevel="0" collapsed="false">
      <c r="A9" s="12" t="s">
        <v>92</v>
      </c>
      <c r="B9" s="12" t="n">
        <v>2</v>
      </c>
      <c r="C9" s="12" t="n">
        <v>4</v>
      </c>
      <c r="D9" s="12" t="s">
        <v>151</v>
      </c>
      <c r="E9" s="12" t="s">
        <v>118</v>
      </c>
      <c r="F9" s="12" t="s">
        <v>152</v>
      </c>
      <c r="G9" s="12"/>
    </row>
    <row r="10" customFormat="false" ht="15" hidden="false" customHeight="false" outlineLevel="0" collapsed="false">
      <c r="A10" s="12" t="s">
        <v>92</v>
      </c>
      <c r="B10" s="12" t="n">
        <v>3</v>
      </c>
      <c r="C10" s="12" t="n">
        <v>1</v>
      </c>
      <c r="D10" s="12" t="s">
        <v>158</v>
      </c>
      <c r="E10" s="12" t="s">
        <v>118</v>
      </c>
      <c r="F10" s="12" t="s">
        <v>159</v>
      </c>
      <c r="G10" s="12"/>
    </row>
    <row r="11" customFormat="false" ht="15" hidden="false" customHeight="false" outlineLevel="0" collapsed="false">
      <c r="A11" s="12" t="s">
        <v>92</v>
      </c>
      <c r="B11" s="12" t="n">
        <v>3</v>
      </c>
      <c r="C11" s="12" t="n">
        <v>2</v>
      </c>
      <c r="D11" s="12" t="s">
        <v>147</v>
      </c>
      <c r="E11" s="12" t="s">
        <v>118</v>
      </c>
      <c r="F11" s="12" t="s">
        <v>148</v>
      </c>
      <c r="G11" s="12"/>
    </row>
    <row r="12" customFormat="false" ht="15" hidden="false" customHeight="false" outlineLevel="0" collapsed="false">
      <c r="A12" s="12" t="s">
        <v>92</v>
      </c>
      <c r="B12" s="12" t="n">
        <v>3</v>
      </c>
      <c r="C12" s="12" t="n">
        <v>3</v>
      </c>
      <c r="D12" s="12" t="s">
        <v>149</v>
      </c>
      <c r="E12" s="12" t="s">
        <v>118</v>
      </c>
      <c r="F12" s="12" t="s">
        <v>160</v>
      </c>
      <c r="G12" s="12"/>
    </row>
    <row r="13" customFormat="false" ht="15" hidden="false" customHeight="false" outlineLevel="0" collapsed="false">
      <c r="A13" s="12" t="s">
        <v>92</v>
      </c>
      <c r="B13" s="12" t="n">
        <v>3</v>
      </c>
      <c r="C13" s="12" t="n">
        <v>4</v>
      </c>
      <c r="D13" s="12" t="s">
        <v>151</v>
      </c>
      <c r="E13" s="12" t="s">
        <v>118</v>
      </c>
      <c r="F13" s="12" t="s">
        <v>152</v>
      </c>
      <c r="G13" s="12"/>
    </row>
    <row r="14" customFormat="false" ht="15" hidden="false" customHeight="false" outlineLevel="0" collapsed="false">
      <c r="A14" s="12" t="s">
        <v>92</v>
      </c>
      <c r="B14" s="12" t="n">
        <v>4</v>
      </c>
      <c r="C14" s="12" t="n">
        <v>1</v>
      </c>
      <c r="D14" s="12" t="s">
        <v>145</v>
      </c>
      <c r="E14" s="12" t="s">
        <v>118</v>
      </c>
      <c r="F14" s="12" t="s">
        <v>161</v>
      </c>
      <c r="G14" s="12"/>
    </row>
    <row r="15" customFormat="false" ht="15" hidden="false" customHeight="false" outlineLevel="0" collapsed="false">
      <c r="A15" s="12" t="s">
        <v>92</v>
      </c>
      <c r="B15" s="12" t="n">
        <v>4</v>
      </c>
      <c r="C15" s="12" t="n">
        <v>2</v>
      </c>
      <c r="D15" s="12" t="s">
        <v>154</v>
      </c>
      <c r="E15" s="12" t="s">
        <v>118</v>
      </c>
      <c r="F15" s="12" t="s">
        <v>155</v>
      </c>
      <c r="G15" s="12"/>
    </row>
    <row r="16" customFormat="false" ht="15" hidden="false" customHeight="false" outlineLevel="0" collapsed="false">
      <c r="A16" s="12" t="s">
        <v>92</v>
      </c>
      <c r="B16" s="12" t="n">
        <v>4</v>
      </c>
      <c r="C16" s="12" t="n">
        <v>3</v>
      </c>
      <c r="D16" s="12" t="s">
        <v>156</v>
      </c>
      <c r="E16" s="12" t="s">
        <v>118</v>
      </c>
      <c r="F16" s="12" t="s">
        <v>162</v>
      </c>
      <c r="G16" s="12"/>
    </row>
    <row r="17" customFormat="false" ht="15" hidden="false" customHeight="false" outlineLevel="0" collapsed="false">
      <c r="A17" s="12" t="s">
        <v>92</v>
      </c>
      <c r="B17" s="12" t="n">
        <v>4</v>
      </c>
      <c r="C17" s="12" t="n">
        <v>4</v>
      </c>
      <c r="D17" s="12" t="s">
        <v>151</v>
      </c>
      <c r="E17" s="12" t="s">
        <v>118</v>
      </c>
      <c r="F17" s="12" t="s">
        <v>163</v>
      </c>
      <c r="G17" s="12"/>
    </row>
    <row r="18" customFormat="false" ht="15" hidden="false" customHeight="false" outlineLevel="0" collapsed="false">
      <c r="A18" s="12" t="s">
        <v>92</v>
      </c>
      <c r="B18" s="12" t="n">
        <v>5</v>
      </c>
      <c r="C18" s="12" t="n">
        <v>1</v>
      </c>
      <c r="D18" s="12" t="s">
        <v>35</v>
      </c>
      <c r="E18" s="12" t="s">
        <v>118</v>
      </c>
      <c r="F18" s="12" t="s">
        <v>164</v>
      </c>
      <c r="G18" s="12"/>
    </row>
    <row r="19" customFormat="false" ht="15" hidden="false" customHeight="false" outlineLevel="0" collapsed="false">
      <c r="A19" s="12" t="s">
        <v>92</v>
      </c>
      <c r="B19" s="12" t="n">
        <v>5</v>
      </c>
      <c r="C19" s="12" t="n">
        <v>2</v>
      </c>
      <c r="D19" s="12" t="s">
        <v>147</v>
      </c>
      <c r="E19" s="12" t="s">
        <v>118</v>
      </c>
      <c r="F19" s="12" t="s">
        <v>148</v>
      </c>
      <c r="G19" s="12"/>
    </row>
    <row r="20" customFormat="false" ht="15" hidden="false" customHeight="false" outlineLevel="0" collapsed="false">
      <c r="A20" s="12" t="s">
        <v>92</v>
      </c>
      <c r="B20" s="12" t="n">
        <v>5</v>
      </c>
      <c r="C20" s="12" t="n">
        <v>3</v>
      </c>
      <c r="D20" s="12" t="s">
        <v>156</v>
      </c>
      <c r="E20" s="12" t="s">
        <v>118</v>
      </c>
      <c r="F20" s="12" t="s">
        <v>165</v>
      </c>
      <c r="G20" s="12"/>
    </row>
    <row r="21" customFormat="false" ht="15" hidden="false" customHeight="false" outlineLevel="0" collapsed="false">
      <c r="A21" s="12" t="s">
        <v>92</v>
      </c>
      <c r="B21" s="12" t="n">
        <v>5</v>
      </c>
      <c r="C21" s="12" t="n">
        <v>4</v>
      </c>
      <c r="D21" s="12" t="s">
        <v>151</v>
      </c>
      <c r="E21" s="12" t="s">
        <v>118</v>
      </c>
      <c r="F21" s="12" t="s">
        <v>166</v>
      </c>
      <c r="G21" s="12"/>
    </row>
    <row r="22" customFormat="false" ht="15" hidden="false" customHeight="false" outlineLevel="0" collapsed="false">
      <c r="A22" s="12" t="s">
        <v>92</v>
      </c>
      <c r="B22" s="12" t="n">
        <v>6</v>
      </c>
      <c r="C22" s="12" t="n">
        <v>1</v>
      </c>
      <c r="D22" s="12" t="s">
        <v>158</v>
      </c>
      <c r="E22" s="12" t="s">
        <v>118</v>
      </c>
      <c r="F22" s="12" t="s">
        <v>167</v>
      </c>
      <c r="G22" s="12"/>
    </row>
    <row r="23" customFormat="false" ht="15" hidden="false" customHeight="false" outlineLevel="0" collapsed="false">
      <c r="A23" s="12" t="s">
        <v>92</v>
      </c>
      <c r="B23" s="12" t="n">
        <v>6</v>
      </c>
      <c r="C23" s="12" t="n">
        <v>2</v>
      </c>
      <c r="D23" s="12" t="s">
        <v>154</v>
      </c>
      <c r="E23" s="12" t="s">
        <v>118</v>
      </c>
      <c r="F23" s="12" t="s">
        <v>155</v>
      </c>
      <c r="G23" s="12"/>
    </row>
    <row r="24" customFormat="false" ht="15" hidden="false" customHeight="false" outlineLevel="0" collapsed="false">
      <c r="A24" s="12" t="s">
        <v>92</v>
      </c>
      <c r="B24" s="12" t="n">
        <v>6</v>
      </c>
      <c r="C24" s="12" t="n">
        <v>3</v>
      </c>
      <c r="D24" s="12" t="s">
        <v>149</v>
      </c>
      <c r="E24" s="12" t="s">
        <v>118</v>
      </c>
      <c r="F24" s="12" t="s">
        <v>168</v>
      </c>
      <c r="G24" s="12"/>
    </row>
    <row r="25" customFormat="false" ht="15" hidden="false" customHeight="false" outlineLevel="0" collapsed="false">
      <c r="A25" s="12" t="s">
        <v>92</v>
      </c>
      <c r="B25" s="12" t="n">
        <v>6</v>
      </c>
      <c r="C25" s="12" t="n">
        <v>4</v>
      </c>
      <c r="D25" s="12" t="s">
        <v>151</v>
      </c>
      <c r="E25" s="12" t="s">
        <v>118</v>
      </c>
      <c r="F25" s="12" t="s">
        <v>152</v>
      </c>
      <c r="G25" s="12"/>
    </row>
    <row r="26" customFormat="false" ht="15" hidden="false" customHeight="false" outlineLevel="0" collapsed="false">
      <c r="A26" s="12" t="s">
        <v>92</v>
      </c>
      <c r="B26" s="12" t="n">
        <v>7</v>
      </c>
      <c r="C26" s="12" t="n">
        <v>1</v>
      </c>
      <c r="D26" s="12" t="s">
        <v>145</v>
      </c>
      <c r="E26" s="12" t="s">
        <v>118</v>
      </c>
      <c r="F26" s="12" t="s">
        <v>169</v>
      </c>
      <c r="G26" s="12"/>
    </row>
    <row r="27" customFormat="false" ht="15" hidden="false" customHeight="false" outlineLevel="0" collapsed="false">
      <c r="A27" s="12" t="s">
        <v>92</v>
      </c>
      <c r="B27" s="12" t="n">
        <v>7</v>
      </c>
      <c r="C27" s="12" t="n">
        <v>2</v>
      </c>
      <c r="D27" s="12" t="s">
        <v>147</v>
      </c>
      <c r="E27" s="12" t="s">
        <v>118</v>
      </c>
      <c r="F27" s="12" t="s">
        <v>148</v>
      </c>
      <c r="G27" s="12"/>
    </row>
    <row r="28" customFormat="false" ht="15" hidden="false" customHeight="false" outlineLevel="0" collapsed="false">
      <c r="A28" s="12" t="s">
        <v>92</v>
      </c>
      <c r="B28" s="12" t="n">
        <v>7</v>
      </c>
      <c r="C28" s="12" t="n">
        <v>3</v>
      </c>
      <c r="D28" s="12" t="s">
        <v>156</v>
      </c>
      <c r="E28" s="12" t="s">
        <v>118</v>
      </c>
      <c r="F28" s="12" t="s">
        <v>170</v>
      </c>
      <c r="G28" s="12"/>
    </row>
    <row r="29" customFormat="false" ht="15" hidden="false" customHeight="false" outlineLevel="0" collapsed="false">
      <c r="A29" s="12" t="s">
        <v>92</v>
      </c>
      <c r="B29" s="12" t="n">
        <v>7</v>
      </c>
      <c r="C29" s="12" t="n">
        <v>4</v>
      </c>
      <c r="D29" s="12" t="s">
        <v>151</v>
      </c>
      <c r="E29" s="12" t="s">
        <v>118</v>
      </c>
      <c r="F29" s="12" t="s">
        <v>171</v>
      </c>
      <c r="G29" s="12"/>
    </row>
    <row r="30" customFormat="false" ht="15" hidden="false" customHeight="false" outlineLevel="0" collapsed="false">
      <c r="A30" s="12" t="s">
        <v>92</v>
      </c>
      <c r="B30" s="12" t="n">
        <v>8</v>
      </c>
      <c r="C30" s="12" t="n">
        <v>1</v>
      </c>
      <c r="D30" s="12" t="s">
        <v>35</v>
      </c>
      <c r="E30" s="12" t="s">
        <v>118</v>
      </c>
      <c r="F30" s="12" t="s">
        <v>172</v>
      </c>
      <c r="G30" s="12"/>
    </row>
    <row r="31" customFormat="false" ht="15" hidden="false" customHeight="false" outlineLevel="0" collapsed="false">
      <c r="A31" s="12" t="s">
        <v>92</v>
      </c>
      <c r="B31" s="12" t="n">
        <v>8</v>
      </c>
      <c r="C31" s="12" t="n">
        <v>2</v>
      </c>
      <c r="D31" s="12" t="s">
        <v>154</v>
      </c>
      <c r="E31" s="12" t="s">
        <v>118</v>
      </c>
      <c r="F31" s="12" t="s">
        <v>155</v>
      </c>
      <c r="G31" s="12"/>
    </row>
    <row r="32" customFormat="false" ht="15" hidden="false" customHeight="false" outlineLevel="0" collapsed="false">
      <c r="A32" s="12" t="s">
        <v>92</v>
      </c>
      <c r="B32" s="12" t="n">
        <v>8</v>
      </c>
      <c r="C32" s="12" t="n">
        <v>3</v>
      </c>
      <c r="D32" s="12" t="s">
        <v>149</v>
      </c>
      <c r="E32" s="12" t="s">
        <v>118</v>
      </c>
      <c r="F32" s="12" t="s">
        <v>173</v>
      </c>
      <c r="G32" s="12"/>
    </row>
    <row r="33" customFormat="false" ht="15" hidden="false" customHeight="false" outlineLevel="0" collapsed="false">
      <c r="A33" s="12" t="s">
        <v>92</v>
      </c>
      <c r="B33" s="12" t="n">
        <v>8</v>
      </c>
      <c r="C33" s="12" t="n">
        <v>4</v>
      </c>
      <c r="D33" s="12" t="s">
        <v>151</v>
      </c>
      <c r="E33" s="12" t="s">
        <v>118</v>
      </c>
      <c r="F33" s="12" t="s">
        <v>163</v>
      </c>
      <c r="G33" s="12"/>
    </row>
    <row r="34" customFormat="false" ht="15" hidden="false" customHeight="false" outlineLevel="0" collapsed="false">
      <c r="A34" s="12" t="s">
        <v>92</v>
      </c>
      <c r="B34" s="12" t="n">
        <v>9</v>
      </c>
      <c r="C34" s="12" t="n">
        <v>1</v>
      </c>
      <c r="D34" s="12" t="s">
        <v>158</v>
      </c>
      <c r="E34" s="12" t="s">
        <v>118</v>
      </c>
      <c r="F34" s="12" t="s">
        <v>174</v>
      </c>
      <c r="G34" s="12"/>
    </row>
    <row r="35" customFormat="false" ht="15" hidden="false" customHeight="false" outlineLevel="0" collapsed="false">
      <c r="A35" s="12" t="s">
        <v>92</v>
      </c>
      <c r="B35" s="12" t="n">
        <v>9</v>
      </c>
      <c r="C35" s="12" t="n">
        <v>2</v>
      </c>
      <c r="D35" s="12" t="s">
        <v>147</v>
      </c>
      <c r="E35" s="12" t="s">
        <v>118</v>
      </c>
      <c r="F35" s="12" t="s">
        <v>148</v>
      </c>
      <c r="G35" s="12"/>
    </row>
    <row r="36" customFormat="false" ht="15" hidden="false" customHeight="false" outlineLevel="0" collapsed="false">
      <c r="A36" s="12" t="s">
        <v>92</v>
      </c>
      <c r="B36" s="12" t="n">
        <v>9</v>
      </c>
      <c r="C36" s="12" t="n">
        <v>3</v>
      </c>
      <c r="D36" s="12" t="s">
        <v>156</v>
      </c>
      <c r="E36" s="12" t="s">
        <v>118</v>
      </c>
      <c r="F36" s="12" t="s">
        <v>175</v>
      </c>
      <c r="G36" s="12"/>
    </row>
    <row r="37" customFormat="false" ht="15" hidden="false" customHeight="false" outlineLevel="0" collapsed="false">
      <c r="A37" s="12" t="s">
        <v>92</v>
      </c>
      <c r="B37" s="12" t="n">
        <v>9</v>
      </c>
      <c r="C37" s="12" t="n">
        <v>4</v>
      </c>
      <c r="D37" s="12" t="s">
        <v>151</v>
      </c>
      <c r="E37" s="12" t="s">
        <v>118</v>
      </c>
      <c r="F37" s="12" t="s">
        <v>176</v>
      </c>
      <c r="G37" s="12"/>
    </row>
    <row r="38" customFormat="false" ht="15" hidden="false" customHeight="false" outlineLevel="0" collapsed="false">
      <c r="A38" s="12" t="s">
        <v>92</v>
      </c>
      <c r="B38" s="12" t="n">
        <v>10</v>
      </c>
      <c r="C38" s="12" t="n">
        <v>1</v>
      </c>
      <c r="D38" s="12" t="s">
        <v>158</v>
      </c>
      <c r="E38" s="12" t="s">
        <v>118</v>
      </c>
      <c r="F38" s="12" t="s">
        <v>177</v>
      </c>
      <c r="G38" s="12"/>
    </row>
    <row r="39" customFormat="false" ht="15" hidden="false" customHeight="false" outlineLevel="0" collapsed="false">
      <c r="A39" s="12" t="s">
        <v>92</v>
      </c>
      <c r="B39" s="12" t="n">
        <v>10</v>
      </c>
      <c r="C39" s="12" t="n">
        <v>2</v>
      </c>
      <c r="D39" s="12" t="s">
        <v>154</v>
      </c>
      <c r="E39" s="12" t="s">
        <v>118</v>
      </c>
      <c r="F39" s="12" t="s">
        <v>155</v>
      </c>
      <c r="G39" s="12"/>
    </row>
    <row r="40" customFormat="false" ht="15" hidden="false" customHeight="false" outlineLevel="0" collapsed="false">
      <c r="A40" s="12" t="s">
        <v>92</v>
      </c>
      <c r="B40" s="12" t="n">
        <v>10</v>
      </c>
      <c r="C40" s="12" t="n">
        <v>3</v>
      </c>
      <c r="D40" s="12" t="s">
        <v>156</v>
      </c>
      <c r="E40" s="12" t="s">
        <v>118</v>
      </c>
      <c r="F40" s="12" t="s">
        <v>178</v>
      </c>
      <c r="G40" s="12"/>
    </row>
    <row r="41" customFormat="false" ht="15" hidden="false" customHeight="false" outlineLevel="0" collapsed="false">
      <c r="A41" s="12" t="s">
        <v>92</v>
      </c>
      <c r="B41" s="12" t="n">
        <v>10</v>
      </c>
      <c r="C41" s="12" t="n">
        <v>4</v>
      </c>
      <c r="D41" s="12" t="s">
        <v>151</v>
      </c>
      <c r="E41" s="12" t="s">
        <v>118</v>
      </c>
      <c r="F41" s="12" t="s">
        <v>179</v>
      </c>
      <c r="G41" s="12"/>
    </row>
    <row r="42" customFormat="false" ht="15" hidden="false" customHeight="false" outlineLevel="0" collapsed="false">
      <c r="A42" s="12" t="s">
        <v>92</v>
      </c>
      <c r="B42" s="12" t="n">
        <v>11</v>
      </c>
      <c r="C42" s="12" t="n">
        <v>1</v>
      </c>
      <c r="D42" s="12" t="s">
        <v>158</v>
      </c>
      <c r="E42" s="12" t="s">
        <v>118</v>
      </c>
      <c r="F42" s="12" t="s">
        <v>180</v>
      </c>
      <c r="G42" s="12"/>
    </row>
    <row r="43" customFormat="false" ht="15" hidden="false" customHeight="false" outlineLevel="0" collapsed="false">
      <c r="A43" s="12" t="s">
        <v>92</v>
      </c>
      <c r="B43" s="12" t="n">
        <v>11</v>
      </c>
      <c r="C43" s="12" t="n">
        <v>2</v>
      </c>
      <c r="D43" s="12" t="s">
        <v>147</v>
      </c>
      <c r="E43" s="12" t="s">
        <v>118</v>
      </c>
      <c r="F43" s="12" t="s">
        <v>148</v>
      </c>
      <c r="G43" s="12"/>
    </row>
    <row r="44" customFormat="false" ht="15" hidden="false" customHeight="false" outlineLevel="0" collapsed="false">
      <c r="A44" s="12" t="s">
        <v>92</v>
      </c>
      <c r="B44" s="12" t="n">
        <v>11</v>
      </c>
      <c r="C44" s="12" t="n">
        <v>3</v>
      </c>
      <c r="D44" s="12" t="s">
        <v>156</v>
      </c>
      <c r="E44" s="12" t="s">
        <v>118</v>
      </c>
      <c r="F44" s="12" t="s">
        <v>181</v>
      </c>
      <c r="G44" s="12"/>
    </row>
    <row r="45" customFormat="false" ht="15" hidden="false" customHeight="false" outlineLevel="0" collapsed="false">
      <c r="A45" s="12" t="s">
        <v>92</v>
      </c>
      <c r="B45" s="12" t="n">
        <v>11</v>
      </c>
      <c r="C45" s="12" t="n">
        <v>4</v>
      </c>
      <c r="D45" s="12" t="s">
        <v>151</v>
      </c>
      <c r="E45" s="12" t="s">
        <v>118</v>
      </c>
      <c r="F45" s="12" t="s">
        <v>182</v>
      </c>
      <c r="G45" s="12"/>
    </row>
    <row r="46" customFormat="false" ht="15" hidden="false" customHeight="false" outlineLevel="0" collapsed="false">
      <c r="A46" s="12" t="s">
        <v>92</v>
      </c>
      <c r="B46" s="12" t="n">
        <v>12</v>
      </c>
      <c r="C46" s="12" t="n">
        <v>1</v>
      </c>
      <c r="D46" s="12" t="s">
        <v>145</v>
      </c>
      <c r="E46" s="12" t="s">
        <v>118</v>
      </c>
      <c r="F46" s="12" t="s">
        <v>183</v>
      </c>
      <c r="G46" s="12"/>
    </row>
    <row r="47" customFormat="false" ht="15" hidden="false" customHeight="false" outlineLevel="0" collapsed="false">
      <c r="A47" s="12" t="s">
        <v>92</v>
      </c>
      <c r="B47" s="12" t="n">
        <v>12</v>
      </c>
      <c r="C47" s="12" t="n">
        <v>2</v>
      </c>
      <c r="D47" s="12" t="s">
        <v>147</v>
      </c>
      <c r="E47" s="12" t="s">
        <v>118</v>
      </c>
      <c r="F47" s="12" t="s">
        <v>148</v>
      </c>
      <c r="G47" s="12"/>
    </row>
    <row r="48" customFormat="false" ht="15" hidden="false" customHeight="false" outlineLevel="0" collapsed="false">
      <c r="A48" s="12" t="s">
        <v>92</v>
      </c>
      <c r="B48" s="12" t="n">
        <v>12</v>
      </c>
      <c r="C48" s="12" t="n">
        <v>3</v>
      </c>
      <c r="D48" s="12" t="s">
        <v>184</v>
      </c>
      <c r="E48" s="12" t="s">
        <v>118</v>
      </c>
      <c r="F48" s="12" t="s">
        <v>42</v>
      </c>
      <c r="G48" s="12"/>
    </row>
    <row r="49" customFormat="false" ht="15" hidden="false" customHeight="false" outlineLevel="0" collapsed="false">
      <c r="A49" s="12" t="s">
        <v>92</v>
      </c>
      <c r="B49" s="12" t="n">
        <v>12</v>
      </c>
      <c r="C49" s="12" t="n">
        <v>4</v>
      </c>
      <c r="D49" s="12" t="s">
        <v>45</v>
      </c>
      <c r="E49" s="12" t="s">
        <v>118</v>
      </c>
      <c r="F49" s="12" t="s">
        <v>185</v>
      </c>
      <c r="G49" s="12"/>
    </row>
    <row r="50" customFormat="false" ht="15" hidden="false" customHeight="false" outlineLevel="0" collapsed="false">
      <c r="A50" s="12" t="s">
        <v>105</v>
      </c>
      <c r="B50" s="12" t="n">
        <v>1</v>
      </c>
      <c r="C50" s="12" t="n">
        <v>1</v>
      </c>
      <c r="D50" s="12" t="s">
        <v>158</v>
      </c>
      <c r="E50" s="12" t="s">
        <v>118</v>
      </c>
      <c r="F50" s="12" t="s">
        <v>186</v>
      </c>
      <c r="G50" s="12"/>
    </row>
    <row r="51" customFormat="false" ht="35.05" hidden="false" customHeight="false" outlineLevel="0" collapsed="false">
      <c r="A51" s="12" t="s">
        <v>105</v>
      </c>
      <c r="B51" s="12" t="n">
        <v>1</v>
      </c>
      <c r="C51" s="12" t="n">
        <v>2</v>
      </c>
      <c r="D51" s="12" t="s">
        <v>187</v>
      </c>
      <c r="E51" s="12" t="s">
        <v>118</v>
      </c>
      <c r="F51" s="12" t="s">
        <v>188</v>
      </c>
      <c r="G51" s="12" t="s">
        <v>189</v>
      </c>
    </row>
    <row r="52" customFormat="false" ht="15" hidden="false" customHeight="false" outlineLevel="0" collapsed="false">
      <c r="A52" s="12" t="s">
        <v>105</v>
      </c>
      <c r="B52" s="12" t="n">
        <v>1</v>
      </c>
      <c r="C52" s="12" t="n">
        <v>3</v>
      </c>
      <c r="D52" s="12" t="s">
        <v>147</v>
      </c>
      <c r="E52" s="12" t="s">
        <v>118</v>
      </c>
      <c r="F52" s="12" t="s">
        <v>148</v>
      </c>
      <c r="G52" s="12"/>
    </row>
    <row r="53" customFormat="false" ht="15" hidden="false" customHeight="false" outlineLevel="0" collapsed="false">
      <c r="A53" s="12" t="s">
        <v>105</v>
      </c>
      <c r="B53" s="12" t="n">
        <v>1</v>
      </c>
      <c r="C53" s="12" t="n">
        <v>4</v>
      </c>
      <c r="D53" s="12" t="s">
        <v>151</v>
      </c>
      <c r="E53" s="12" t="s">
        <v>118</v>
      </c>
      <c r="F53" s="12" t="s">
        <v>152</v>
      </c>
      <c r="G53" s="12"/>
    </row>
    <row r="54" customFormat="false" ht="15" hidden="false" customHeight="false" outlineLevel="0" collapsed="false">
      <c r="A54" s="12" t="s">
        <v>105</v>
      </c>
      <c r="B54" s="12" t="n">
        <v>2</v>
      </c>
      <c r="C54" s="12" t="n">
        <v>1</v>
      </c>
      <c r="D54" s="12" t="s">
        <v>156</v>
      </c>
      <c r="E54" s="12" t="s">
        <v>118</v>
      </c>
      <c r="F54" s="12" t="s">
        <v>165</v>
      </c>
      <c r="G54" s="12"/>
    </row>
    <row r="55" customFormat="false" ht="35.05" hidden="false" customHeight="false" outlineLevel="0" collapsed="false">
      <c r="A55" s="12" t="s">
        <v>105</v>
      </c>
      <c r="B55" s="12" t="n">
        <v>2</v>
      </c>
      <c r="C55" s="12" t="n">
        <v>2</v>
      </c>
      <c r="D55" s="12" t="s">
        <v>187</v>
      </c>
      <c r="E55" s="12" t="s">
        <v>118</v>
      </c>
      <c r="F55" s="12" t="s">
        <v>190</v>
      </c>
      <c r="G55" s="12" t="s">
        <v>189</v>
      </c>
    </row>
    <row r="56" customFormat="false" ht="15" hidden="false" customHeight="false" outlineLevel="0" collapsed="false">
      <c r="A56" s="12" t="s">
        <v>105</v>
      </c>
      <c r="B56" s="12" t="n">
        <v>2</v>
      </c>
      <c r="C56" s="12" t="n">
        <v>3</v>
      </c>
      <c r="D56" s="12" t="s">
        <v>147</v>
      </c>
      <c r="E56" s="12" t="s">
        <v>118</v>
      </c>
      <c r="F56" s="12" t="s">
        <v>148</v>
      </c>
      <c r="G56" s="12"/>
    </row>
    <row r="57" customFormat="false" ht="15" hidden="false" customHeight="false" outlineLevel="0" collapsed="false">
      <c r="A57" s="12" t="s">
        <v>105</v>
      </c>
      <c r="B57" s="12" t="n">
        <v>2</v>
      </c>
      <c r="C57" s="12" t="n">
        <v>4</v>
      </c>
      <c r="D57" s="12" t="s">
        <v>151</v>
      </c>
      <c r="E57" s="12" t="s">
        <v>118</v>
      </c>
      <c r="F57" s="12" t="s">
        <v>152</v>
      </c>
      <c r="G57" s="12"/>
    </row>
    <row r="58" customFormat="false" ht="15" hidden="false" customHeight="false" outlineLevel="0" collapsed="false">
      <c r="A58" s="12" t="s">
        <v>105</v>
      </c>
      <c r="B58" s="12" t="n">
        <v>3</v>
      </c>
      <c r="C58" s="12" t="n">
        <v>1</v>
      </c>
      <c r="D58" s="12" t="s">
        <v>158</v>
      </c>
      <c r="E58" s="12" t="s">
        <v>118</v>
      </c>
      <c r="F58" s="12" t="s">
        <v>191</v>
      </c>
      <c r="G58" s="12"/>
    </row>
    <row r="59" customFormat="false" ht="35.05" hidden="false" customHeight="false" outlineLevel="0" collapsed="false">
      <c r="A59" s="12" t="s">
        <v>105</v>
      </c>
      <c r="B59" s="12" t="n">
        <v>3</v>
      </c>
      <c r="C59" s="12" t="n">
        <v>2</v>
      </c>
      <c r="D59" s="12" t="s">
        <v>187</v>
      </c>
      <c r="E59" s="12" t="s">
        <v>118</v>
      </c>
      <c r="F59" s="12" t="s">
        <v>192</v>
      </c>
      <c r="G59" s="12" t="s">
        <v>189</v>
      </c>
    </row>
    <row r="60" customFormat="false" ht="15" hidden="false" customHeight="false" outlineLevel="0" collapsed="false">
      <c r="A60" s="12" t="s">
        <v>105</v>
      </c>
      <c r="B60" s="12" t="n">
        <v>3</v>
      </c>
      <c r="C60" s="12" t="n">
        <v>3</v>
      </c>
      <c r="D60" s="12" t="s">
        <v>147</v>
      </c>
      <c r="E60" s="12" t="s">
        <v>118</v>
      </c>
      <c r="F60" s="12" t="s">
        <v>148</v>
      </c>
      <c r="G60" s="12"/>
    </row>
    <row r="61" customFormat="false" ht="15" hidden="false" customHeight="false" outlineLevel="0" collapsed="false">
      <c r="A61" s="12" t="s">
        <v>105</v>
      </c>
      <c r="B61" s="12" t="n">
        <v>3</v>
      </c>
      <c r="C61" s="12" t="n">
        <v>4</v>
      </c>
      <c r="D61" s="12" t="s">
        <v>151</v>
      </c>
      <c r="E61" s="12" t="s">
        <v>118</v>
      </c>
      <c r="F61" s="12" t="s">
        <v>152</v>
      </c>
      <c r="G61" s="12"/>
    </row>
    <row r="62" customFormat="false" ht="15" hidden="false" customHeight="false" outlineLevel="0" collapsed="false">
      <c r="A62" s="12" t="s">
        <v>105</v>
      </c>
      <c r="B62" s="12" t="n">
        <v>4</v>
      </c>
      <c r="C62" s="12" t="n">
        <v>1</v>
      </c>
      <c r="D62" s="12" t="s">
        <v>145</v>
      </c>
      <c r="E62" s="12" t="s">
        <v>118</v>
      </c>
      <c r="F62" s="12" t="s">
        <v>146</v>
      </c>
      <c r="G62" s="12"/>
    </row>
    <row r="63" customFormat="false" ht="35.05" hidden="false" customHeight="false" outlineLevel="0" collapsed="false">
      <c r="A63" s="12" t="s">
        <v>105</v>
      </c>
      <c r="B63" s="12" t="n">
        <v>4</v>
      </c>
      <c r="C63" s="12" t="n">
        <v>2</v>
      </c>
      <c r="D63" s="12" t="s">
        <v>187</v>
      </c>
      <c r="E63" s="12" t="s">
        <v>118</v>
      </c>
      <c r="F63" s="12" t="s">
        <v>188</v>
      </c>
      <c r="G63" s="12" t="s">
        <v>189</v>
      </c>
    </row>
    <row r="64" customFormat="false" ht="15" hidden="false" customHeight="false" outlineLevel="0" collapsed="false">
      <c r="A64" s="12" t="s">
        <v>105</v>
      </c>
      <c r="B64" s="12" t="n">
        <v>4</v>
      </c>
      <c r="C64" s="12" t="n">
        <v>3</v>
      </c>
      <c r="D64" s="12" t="s">
        <v>151</v>
      </c>
      <c r="E64" s="12" t="s">
        <v>118</v>
      </c>
      <c r="F64" s="12" t="s">
        <v>152</v>
      </c>
      <c r="G64" s="12"/>
    </row>
    <row r="65" customFormat="false" ht="15" hidden="false" customHeight="false" outlineLevel="0" collapsed="false">
      <c r="A65" s="12" t="s">
        <v>105</v>
      </c>
      <c r="B65" s="12" t="n">
        <v>5</v>
      </c>
      <c r="C65" s="12" t="n">
        <v>1</v>
      </c>
      <c r="D65" s="12" t="s">
        <v>156</v>
      </c>
      <c r="E65" s="12" t="s">
        <v>118</v>
      </c>
      <c r="F65" s="12" t="s">
        <v>193</v>
      </c>
      <c r="G65" s="12"/>
    </row>
    <row r="66" customFormat="false" ht="35.05" hidden="false" customHeight="false" outlineLevel="0" collapsed="false">
      <c r="A66" s="12" t="s">
        <v>105</v>
      </c>
      <c r="B66" s="12" t="n">
        <v>5</v>
      </c>
      <c r="C66" s="12" t="n">
        <v>2</v>
      </c>
      <c r="D66" s="12" t="s">
        <v>187</v>
      </c>
      <c r="E66" s="12" t="s">
        <v>118</v>
      </c>
      <c r="F66" s="12" t="s">
        <v>194</v>
      </c>
      <c r="G66" s="12" t="s">
        <v>189</v>
      </c>
    </row>
    <row r="67" customFormat="false" ht="15" hidden="false" customHeight="false" outlineLevel="0" collapsed="false">
      <c r="A67" s="12" t="s">
        <v>105</v>
      </c>
      <c r="B67" s="12" t="n">
        <v>5</v>
      </c>
      <c r="C67" s="12" t="n">
        <v>3</v>
      </c>
      <c r="D67" s="12" t="s">
        <v>147</v>
      </c>
      <c r="E67" s="12" t="s">
        <v>118</v>
      </c>
      <c r="F67" s="12" t="s">
        <v>148</v>
      </c>
      <c r="G67" s="12"/>
    </row>
    <row r="68" customFormat="false" ht="15" hidden="false" customHeight="false" outlineLevel="0" collapsed="false">
      <c r="A68" s="12" t="s">
        <v>105</v>
      </c>
      <c r="B68" s="12" t="n">
        <v>5</v>
      </c>
      <c r="C68" s="12" t="n">
        <v>4</v>
      </c>
      <c r="D68" s="12" t="s">
        <v>151</v>
      </c>
      <c r="E68" s="12" t="s">
        <v>118</v>
      </c>
      <c r="F68" s="12" t="s">
        <v>152</v>
      </c>
      <c r="G68" s="12"/>
    </row>
    <row r="69" customFormat="false" ht="15" hidden="false" customHeight="false" outlineLevel="0" collapsed="false">
      <c r="A69" s="12" t="s">
        <v>105</v>
      </c>
      <c r="B69" s="12" t="n">
        <v>6</v>
      </c>
      <c r="C69" s="12" t="n">
        <v>1</v>
      </c>
      <c r="D69" s="12" t="s">
        <v>158</v>
      </c>
      <c r="E69" s="12" t="s">
        <v>118</v>
      </c>
      <c r="F69" s="12" t="s">
        <v>195</v>
      </c>
      <c r="G69" s="12"/>
    </row>
    <row r="70" customFormat="false" ht="35.05" hidden="false" customHeight="false" outlineLevel="0" collapsed="false">
      <c r="A70" s="12" t="s">
        <v>105</v>
      </c>
      <c r="B70" s="12" t="n">
        <v>6</v>
      </c>
      <c r="C70" s="12" t="n">
        <v>2</v>
      </c>
      <c r="D70" s="12" t="s">
        <v>187</v>
      </c>
      <c r="E70" s="12" t="s">
        <v>118</v>
      </c>
      <c r="F70" s="12" t="s">
        <v>196</v>
      </c>
      <c r="G70" s="12" t="s">
        <v>189</v>
      </c>
    </row>
    <row r="71" customFormat="false" ht="15" hidden="false" customHeight="false" outlineLevel="0" collapsed="false">
      <c r="A71" s="12" t="s">
        <v>105</v>
      </c>
      <c r="B71" s="12" t="n">
        <v>6</v>
      </c>
      <c r="C71" s="12" t="n">
        <v>3</v>
      </c>
      <c r="D71" s="12" t="s">
        <v>147</v>
      </c>
      <c r="E71" s="12" t="s">
        <v>118</v>
      </c>
      <c r="F71" s="12" t="s">
        <v>148</v>
      </c>
      <c r="G71" s="12"/>
    </row>
    <row r="72" customFormat="false" ht="15" hidden="false" customHeight="false" outlineLevel="0" collapsed="false">
      <c r="A72" s="12" t="s">
        <v>105</v>
      </c>
      <c r="B72" s="12" t="n">
        <v>6</v>
      </c>
      <c r="C72" s="12" t="n">
        <v>4</v>
      </c>
      <c r="D72" s="12" t="s">
        <v>151</v>
      </c>
      <c r="E72" s="12" t="s">
        <v>118</v>
      </c>
      <c r="F72" s="12" t="s">
        <v>152</v>
      </c>
      <c r="G72" s="12"/>
    </row>
    <row r="73" customFormat="false" ht="15" hidden="false" customHeight="false" outlineLevel="0" collapsed="false">
      <c r="A73" s="12" t="s">
        <v>105</v>
      </c>
      <c r="B73" s="12" t="n">
        <v>7</v>
      </c>
      <c r="C73" s="12" t="n">
        <v>1</v>
      </c>
      <c r="D73" s="12" t="s">
        <v>156</v>
      </c>
      <c r="E73" s="12" t="s">
        <v>118</v>
      </c>
      <c r="F73" s="12" t="s">
        <v>197</v>
      </c>
      <c r="G73" s="12"/>
    </row>
    <row r="74" customFormat="false" ht="35.05" hidden="false" customHeight="false" outlineLevel="0" collapsed="false">
      <c r="A74" s="12" t="s">
        <v>105</v>
      </c>
      <c r="B74" s="12" t="n">
        <v>7</v>
      </c>
      <c r="C74" s="12" t="n">
        <v>2</v>
      </c>
      <c r="D74" s="12" t="s">
        <v>187</v>
      </c>
      <c r="E74" s="12" t="s">
        <v>118</v>
      </c>
      <c r="F74" s="12" t="s">
        <v>198</v>
      </c>
      <c r="G74" s="12" t="s">
        <v>189</v>
      </c>
    </row>
    <row r="75" customFormat="false" ht="15" hidden="false" customHeight="false" outlineLevel="0" collapsed="false">
      <c r="A75" s="12" t="s">
        <v>105</v>
      </c>
      <c r="B75" s="12" t="n">
        <v>7</v>
      </c>
      <c r="C75" s="12" t="n">
        <v>3</v>
      </c>
      <c r="D75" s="12" t="s">
        <v>147</v>
      </c>
      <c r="E75" s="12" t="s">
        <v>118</v>
      </c>
      <c r="F75" s="12" t="s">
        <v>148</v>
      </c>
      <c r="G75" s="12"/>
    </row>
    <row r="76" customFormat="false" ht="15" hidden="false" customHeight="false" outlineLevel="0" collapsed="false">
      <c r="A76" s="12" t="s">
        <v>105</v>
      </c>
      <c r="B76" s="12" t="n">
        <v>7</v>
      </c>
      <c r="C76" s="12" t="n">
        <v>4</v>
      </c>
      <c r="D76" s="12" t="s">
        <v>151</v>
      </c>
      <c r="E76" s="12" t="s">
        <v>118</v>
      </c>
      <c r="F76" s="12" t="s">
        <v>152</v>
      </c>
      <c r="G76" s="12"/>
    </row>
    <row r="77" customFormat="false" ht="15" hidden="false" customHeight="false" outlineLevel="0" collapsed="false">
      <c r="A77" s="12" t="s">
        <v>105</v>
      </c>
      <c r="B77" s="12" t="n">
        <v>8</v>
      </c>
      <c r="C77" s="12" t="n">
        <v>1</v>
      </c>
      <c r="D77" s="12" t="s">
        <v>145</v>
      </c>
      <c r="E77" s="12" t="s">
        <v>118</v>
      </c>
      <c r="F77" s="12" t="s">
        <v>161</v>
      </c>
      <c r="G77" s="12"/>
    </row>
    <row r="78" customFormat="false" ht="35.05" hidden="false" customHeight="false" outlineLevel="0" collapsed="false">
      <c r="A78" s="12" t="s">
        <v>105</v>
      </c>
      <c r="B78" s="12" t="n">
        <v>8</v>
      </c>
      <c r="C78" s="12" t="n">
        <v>2</v>
      </c>
      <c r="D78" s="12" t="s">
        <v>187</v>
      </c>
      <c r="E78" s="12" t="s">
        <v>118</v>
      </c>
      <c r="F78" s="12" t="s">
        <v>199</v>
      </c>
      <c r="G78" s="12" t="s">
        <v>189</v>
      </c>
    </row>
    <row r="79" customFormat="false" ht="15" hidden="false" customHeight="false" outlineLevel="0" collapsed="false">
      <c r="A79" s="12" t="s">
        <v>105</v>
      </c>
      <c r="B79" s="12" t="n">
        <v>8</v>
      </c>
      <c r="C79" s="12" t="n">
        <v>3</v>
      </c>
      <c r="D79" s="12" t="s">
        <v>151</v>
      </c>
      <c r="E79" s="12" t="s">
        <v>118</v>
      </c>
      <c r="F79" s="12" t="s">
        <v>152</v>
      </c>
      <c r="G79" s="12"/>
    </row>
    <row r="80" customFormat="false" ht="15" hidden="false" customHeight="false" outlineLevel="0" collapsed="false">
      <c r="A80" s="12" t="s">
        <v>105</v>
      </c>
      <c r="B80" s="12" t="n">
        <v>9</v>
      </c>
      <c r="C80" s="12" t="n">
        <v>1</v>
      </c>
      <c r="D80" s="12" t="s">
        <v>156</v>
      </c>
      <c r="E80" s="12" t="s">
        <v>118</v>
      </c>
      <c r="F80" s="12" t="s">
        <v>178</v>
      </c>
      <c r="G80" s="12"/>
    </row>
    <row r="81" customFormat="false" ht="35.05" hidden="false" customHeight="false" outlineLevel="0" collapsed="false">
      <c r="A81" s="12" t="s">
        <v>105</v>
      </c>
      <c r="B81" s="12" t="n">
        <v>9</v>
      </c>
      <c r="C81" s="12" t="n">
        <v>2</v>
      </c>
      <c r="D81" s="12" t="s">
        <v>187</v>
      </c>
      <c r="E81" s="12" t="s">
        <v>118</v>
      </c>
      <c r="F81" s="12" t="s">
        <v>200</v>
      </c>
      <c r="G81" s="12" t="s">
        <v>201</v>
      </c>
    </row>
    <row r="82" customFormat="false" ht="15" hidden="false" customHeight="false" outlineLevel="0" collapsed="false">
      <c r="A82" s="12" t="s">
        <v>105</v>
      </c>
      <c r="B82" s="12" t="n">
        <v>9</v>
      </c>
      <c r="C82" s="12" t="n">
        <v>3</v>
      </c>
      <c r="D82" s="12" t="s">
        <v>147</v>
      </c>
      <c r="E82" s="12" t="s">
        <v>118</v>
      </c>
      <c r="F82" s="12" t="s">
        <v>148</v>
      </c>
      <c r="G82" s="12"/>
    </row>
    <row r="83" customFormat="false" ht="15" hidden="false" customHeight="false" outlineLevel="0" collapsed="false">
      <c r="A83" s="12" t="s">
        <v>105</v>
      </c>
      <c r="B83" s="12" t="n">
        <v>9</v>
      </c>
      <c r="C83" s="12" t="n">
        <v>4</v>
      </c>
      <c r="D83" s="12" t="s">
        <v>151</v>
      </c>
      <c r="E83" s="12" t="s">
        <v>118</v>
      </c>
      <c r="F83" s="12" t="s">
        <v>152</v>
      </c>
      <c r="G83" s="12"/>
    </row>
    <row r="84" customFormat="false" ht="15" hidden="false" customHeight="false" outlineLevel="0" collapsed="false">
      <c r="A84" s="12" t="s">
        <v>105</v>
      </c>
      <c r="B84" s="12" t="n">
        <v>10</v>
      </c>
      <c r="C84" s="12" t="n">
        <v>1</v>
      </c>
      <c r="D84" s="12" t="s">
        <v>158</v>
      </c>
      <c r="E84" s="12" t="s">
        <v>118</v>
      </c>
      <c r="F84" s="12" t="s">
        <v>202</v>
      </c>
      <c r="G84" s="12"/>
    </row>
    <row r="85" customFormat="false" ht="35.05" hidden="false" customHeight="false" outlineLevel="0" collapsed="false">
      <c r="A85" s="12" t="s">
        <v>105</v>
      </c>
      <c r="B85" s="12" t="n">
        <v>10</v>
      </c>
      <c r="C85" s="12" t="n">
        <v>2</v>
      </c>
      <c r="D85" s="12" t="s">
        <v>187</v>
      </c>
      <c r="E85" s="12" t="s">
        <v>118</v>
      </c>
      <c r="F85" s="12" t="s">
        <v>198</v>
      </c>
      <c r="G85" s="12" t="s">
        <v>189</v>
      </c>
    </row>
    <row r="86" customFormat="false" ht="15" hidden="false" customHeight="false" outlineLevel="0" collapsed="false">
      <c r="A86" s="12" t="s">
        <v>105</v>
      </c>
      <c r="B86" s="12" t="n">
        <v>10</v>
      </c>
      <c r="C86" s="12" t="n">
        <v>3</v>
      </c>
      <c r="D86" s="12" t="s">
        <v>147</v>
      </c>
      <c r="E86" s="12" t="s">
        <v>118</v>
      </c>
      <c r="F86" s="12" t="s">
        <v>148</v>
      </c>
      <c r="G86" s="12"/>
    </row>
    <row r="87" customFormat="false" ht="15" hidden="false" customHeight="false" outlineLevel="0" collapsed="false">
      <c r="A87" s="12" t="s">
        <v>105</v>
      </c>
      <c r="B87" s="12" t="n">
        <v>10</v>
      </c>
      <c r="C87" s="12" t="n">
        <v>4</v>
      </c>
      <c r="D87" s="12" t="s">
        <v>151</v>
      </c>
      <c r="E87" s="12" t="s">
        <v>118</v>
      </c>
      <c r="F87" s="12" t="s">
        <v>152</v>
      </c>
      <c r="G87" s="12"/>
    </row>
    <row r="88" customFormat="false" ht="15" hidden="false" customHeight="false" outlineLevel="0" collapsed="false">
      <c r="A88" s="12" t="s">
        <v>105</v>
      </c>
      <c r="B88" s="12" t="n">
        <v>11</v>
      </c>
      <c r="C88" s="12" t="n">
        <v>1</v>
      </c>
      <c r="D88" s="12" t="s">
        <v>156</v>
      </c>
      <c r="E88" s="12" t="s">
        <v>118</v>
      </c>
      <c r="F88" s="12" t="s">
        <v>203</v>
      </c>
      <c r="G88" s="12"/>
    </row>
    <row r="89" customFormat="false" ht="35.05" hidden="false" customHeight="false" outlineLevel="0" collapsed="false">
      <c r="A89" s="12" t="s">
        <v>105</v>
      </c>
      <c r="B89" s="12" t="n">
        <v>11</v>
      </c>
      <c r="C89" s="12" t="n">
        <v>2</v>
      </c>
      <c r="D89" s="12" t="s">
        <v>187</v>
      </c>
      <c r="E89" s="12" t="s">
        <v>118</v>
      </c>
      <c r="F89" s="12" t="s">
        <v>199</v>
      </c>
      <c r="G89" s="12" t="s">
        <v>189</v>
      </c>
    </row>
    <row r="90" customFormat="false" ht="15" hidden="false" customHeight="false" outlineLevel="0" collapsed="false">
      <c r="A90" s="12" t="s">
        <v>105</v>
      </c>
      <c r="B90" s="12" t="n">
        <v>11</v>
      </c>
      <c r="C90" s="12" t="n">
        <v>3</v>
      </c>
      <c r="D90" s="12" t="s">
        <v>147</v>
      </c>
      <c r="E90" s="12" t="s">
        <v>118</v>
      </c>
      <c r="F90" s="12" t="s">
        <v>148</v>
      </c>
      <c r="G90" s="12"/>
    </row>
    <row r="91" customFormat="false" ht="15" hidden="false" customHeight="false" outlineLevel="0" collapsed="false">
      <c r="A91" s="12" t="s">
        <v>105</v>
      </c>
      <c r="B91" s="12" t="n">
        <v>12</v>
      </c>
      <c r="C91" s="12" t="n">
        <v>1</v>
      </c>
      <c r="D91" s="12" t="s">
        <v>147</v>
      </c>
      <c r="E91" s="12" t="s">
        <v>118</v>
      </c>
      <c r="F91" s="12" t="s">
        <v>148</v>
      </c>
      <c r="G91" s="12"/>
    </row>
    <row r="92" customFormat="false" ht="15" hidden="false" customHeight="false" outlineLevel="0" collapsed="false">
      <c r="A92" s="12" t="s">
        <v>105</v>
      </c>
      <c r="B92" s="12" t="n">
        <v>12</v>
      </c>
      <c r="C92" s="12" t="n">
        <v>2</v>
      </c>
      <c r="D92" s="12" t="s">
        <v>184</v>
      </c>
      <c r="E92" s="12" t="s">
        <v>118</v>
      </c>
      <c r="F92" s="12" t="s">
        <v>42</v>
      </c>
      <c r="G92" s="12"/>
    </row>
    <row r="93" customFormat="false" ht="23.85" hidden="false" customHeight="false" outlineLevel="0" collapsed="false">
      <c r="A93" s="12" t="s">
        <v>105</v>
      </c>
      <c r="B93" s="12" t="n">
        <v>12</v>
      </c>
      <c r="C93" s="12" t="n">
        <v>3</v>
      </c>
      <c r="D93" s="12" t="s">
        <v>45</v>
      </c>
      <c r="E93" s="12" t="s">
        <v>118</v>
      </c>
      <c r="F93" s="12"/>
      <c r="G93" s="12" t="s">
        <v>204</v>
      </c>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Lists!$A$2:$A$10</formula1>
      <formula2>0</formula2>
    </dataValidation>
    <dataValidation allowBlank="true" error="Pick one of the options in the drop-down." errorStyle="stop" errorTitle="Choose from the list" operator="between" showDropDown="false" showErrorMessage="true" showInputMessage="false" sqref="D2:D401" type="list">
      <formula1>Lists!$B$2:$B$12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205</v>
      </c>
      <c r="B1" s="11" t="s">
        <v>206</v>
      </c>
      <c r="C1" s="11" t="s">
        <v>207</v>
      </c>
      <c r="D1" s="11" t="s">
        <v>208</v>
      </c>
      <c r="E1" s="11" t="s">
        <v>209</v>
      </c>
      <c r="F1" s="11" t="s">
        <v>210</v>
      </c>
    </row>
    <row r="2" customFormat="false" ht="23.85" hidden="false" customHeight="false" outlineLevel="0" collapsed="false">
      <c r="A2" s="16" t="s">
        <v>211</v>
      </c>
      <c r="B2" s="16" t="s">
        <v>147</v>
      </c>
      <c r="C2" s="12" t="s">
        <v>212</v>
      </c>
      <c r="D2" s="16" t="s">
        <v>213</v>
      </c>
      <c r="E2" s="12" t="s">
        <v>214</v>
      </c>
      <c r="F2" s="12"/>
    </row>
    <row r="3" customFormat="false" ht="23.85" hidden="false" customHeight="false" outlineLevel="0" collapsed="false">
      <c r="A3" s="16" t="s">
        <v>215</v>
      </c>
      <c r="B3" s="16" t="s">
        <v>216</v>
      </c>
      <c r="C3" s="12" t="s">
        <v>217</v>
      </c>
      <c r="D3" s="16" t="s">
        <v>218</v>
      </c>
      <c r="E3" s="12" t="s">
        <v>219</v>
      </c>
      <c r="F3" s="12"/>
    </row>
    <row r="4" customFormat="false" ht="15" hidden="false" customHeight="false" outlineLevel="0" collapsed="false">
      <c r="A4" s="16" t="s">
        <v>220</v>
      </c>
      <c r="B4" s="16" t="s">
        <v>94</v>
      </c>
      <c r="C4" s="12" t="s">
        <v>221</v>
      </c>
      <c r="D4" s="16" t="s">
        <v>222</v>
      </c>
      <c r="E4" s="12" t="s">
        <v>223</v>
      </c>
      <c r="F4" s="12"/>
    </row>
    <row r="5" customFormat="false" ht="15" hidden="false" customHeight="false" outlineLevel="0" collapsed="false">
      <c r="A5" s="16" t="s">
        <v>224</v>
      </c>
      <c r="B5" s="16" t="s">
        <v>225</v>
      </c>
      <c r="C5" s="12" t="s">
        <v>226</v>
      </c>
      <c r="D5" s="16" t="s">
        <v>227</v>
      </c>
      <c r="E5" s="12" t="s">
        <v>223</v>
      </c>
      <c r="F5" s="12"/>
    </row>
    <row r="6" customFormat="false" ht="15" hidden="false" customHeight="false" outlineLevel="0" collapsed="false">
      <c r="A6" s="16" t="s">
        <v>228</v>
      </c>
      <c r="B6" s="16" t="s">
        <v>229</v>
      </c>
      <c r="C6" s="12" t="s">
        <v>230</v>
      </c>
      <c r="D6" s="16" t="s">
        <v>231</v>
      </c>
      <c r="E6" s="12" t="s">
        <v>232</v>
      </c>
      <c r="F6" s="12"/>
    </row>
    <row r="7" customFormat="false" ht="15" hidden="false" customHeight="false" outlineLevel="0" collapsed="false">
      <c r="A7" s="16" t="s">
        <v>233</v>
      </c>
      <c r="B7" s="16" t="s">
        <v>233</v>
      </c>
      <c r="C7" s="12" t="s">
        <v>234</v>
      </c>
      <c r="D7" s="16" t="s">
        <v>235</v>
      </c>
      <c r="E7" s="12" t="s">
        <v>236</v>
      </c>
      <c r="F7" s="12"/>
    </row>
    <row r="8" customFormat="false" ht="15" hidden="false" customHeight="false" outlineLevel="0" collapsed="false">
      <c r="A8" s="16" t="s">
        <v>237</v>
      </c>
      <c r="B8" s="16" t="s">
        <v>237</v>
      </c>
      <c r="C8" s="12" t="s">
        <v>238</v>
      </c>
      <c r="D8" s="16" t="s">
        <v>239</v>
      </c>
      <c r="E8" s="12" t="s">
        <v>240</v>
      </c>
      <c r="F8" s="12"/>
    </row>
    <row r="9" customFormat="false" ht="15" hidden="false" customHeight="false" outlineLevel="0" collapsed="false">
      <c r="A9" s="16" t="s">
        <v>241</v>
      </c>
      <c r="B9" s="16" t="s">
        <v>242</v>
      </c>
      <c r="C9" s="12" t="s">
        <v>243</v>
      </c>
      <c r="D9" s="16" t="s">
        <v>244</v>
      </c>
      <c r="E9" s="12" t="s">
        <v>240</v>
      </c>
      <c r="F9" s="12"/>
    </row>
    <row r="10" customFormat="false" ht="15" hidden="false" customHeight="false" outlineLevel="0" collapsed="false">
      <c r="A10" s="16" t="s">
        <v>245</v>
      </c>
      <c r="B10" s="16" t="s">
        <v>246</v>
      </c>
      <c r="C10" s="12" t="s">
        <v>247</v>
      </c>
      <c r="D10" s="16" t="s">
        <v>248</v>
      </c>
      <c r="E10" s="12" t="s">
        <v>249</v>
      </c>
      <c r="F10" s="12"/>
    </row>
    <row r="12" customFormat="false" ht="15" hidden="false" customHeight="false" outlineLevel="0" collapsed="false">
      <c r="A12" s="14" t="s">
        <v>250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251</v>
      </c>
      <c r="B1" s="11" t="s">
        <v>252</v>
      </c>
      <c r="C1" s="11" t="s">
        <v>253</v>
      </c>
      <c r="D1" s="11" t="s">
        <v>254</v>
      </c>
      <c r="E1" s="11" t="s">
        <v>255</v>
      </c>
      <c r="F1" s="11" t="s">
        <v>256</v>
      </c>
    </row>
    <row r="2" customFormat="false" ht="15" hidden="false" customHeight="false" outlineLevel="0" collapsed="false">
      <c r="A2" s="9" t="s">
        <v>257</v>
      </c>
      <c r="B2" s="12" t="n">
        <v>1</v>
      </c>
      <c r="C2" s="12" t="s">
        <v>258</v>
      </c>
      <c r="D2" s="12" t="s">
        <v>259</v>
      </c>
      <c r="E2" s="12" t="s">
        <v>260</v>
      </c>
      <c r="F2" s="13" t="n">
        <f aca="false">SUMPRODUCT(('Split days'!$A$2:$A$401=A2)/COUNTIFS('Split days'!$A$2:$A$401,'Split days'!$A$2:$A$401&amp;"",'Split days'!$B$2:$B$401,'Split days'!$B$2:$B$401&amp;""))</f>
        <v>1</v>
      </c>
    </row>
    <row r="3" customFormat="false" ht="15" hidden="false" customHeight="false" outlineLevel="0" collapsed="false">
      <c r="A3" s="9" t="s">
        <v>84</v>
      </c>
      <c r="B3" s="12" t="n">
        <v>2</v>
      </c>
      <c r="C3" s="12" t="s">
        <v>261</v>
      </c>
      <c r="D3" s="12" t="s">
        <v>262</v>
      </c>
      <c r="E3" s="12" t="s">
        <v>260</v>
      </c>
      <c r="F3" s="13" t="n">
        <f aca="false">SUMPRODUCT(('Split days'!$A$2:$A$401=A3)/COUNTIFS('Split days'!$A$2:$A$401,'Split days'!$A$2:$A$401&amp;"",'Split days'!$B$2:$B$401,'Split days'!$B$2:$B$401&amp;""))</f>
        <v>2</v>
      </c>
    </row>
    <row r="4" customFormat="false" ht="15" hidden="false" customHeight="false" outlineLevel="0" collapsed="false">
      <c r="A4" s="9" t="s">
        <v>103</v>
      </c>
      <c r="B4" s="12" t="n">
        <v>3</v>
      </c>
      <c r="C4" s="12" t="s">
        <v>263</v>
      </c>
      <c r="D4" s="12" t="s">
        <v>264</v>
      </c>
      <c r="E4" s="12" t="s">
        <v>260</v>
      </c>
      <c r="F4" s="13" t="n">
        <f aca="false">SUMPRODUCT(('Split days'!$A$2:$A$401=A4)/COUNTIFS('Split days'!$A$2:$A$401,'Split days'!$A$2:$A$401&amp;"",'Split days'!$B$2:$B$401,'Split days'!$B$2:$B$401&amp;""))</f>
        <v>3</v>
      </c>
    </row>
    <row r="5" customFormat="false" ht="15" hidden="false" customHeight="false" outlineLevel="0" collapsed="false">
      <c r="A5" s="9" t="s">
        <v>97</v>
      </c>
      <c r="B5" s="12" t="n">
        <v>4</v>
      </c>
      <c r="C5" s="12" t="s">
        <v>265</v>
      </c>
      <c r="D5" s="12" t="s">
        <v>266</v>
      </c>
      <c r="E5" s="12" t="s">
        <v>260</v>
      </c>
      <c r="F5" s="13" t="n">
        <f aca="false">SUMPRODUCT(('Split days'!$A$2:$A$401=A5)/COUNTIFS('Split days'!$A$2:$A$401,'Split days'!$A$2:$A$401&amp;"",'Split days'!$B$2:$B$401,'Split days'!$B$2:$B$401&amp;""))</f>
        <v>4</v>
      </c>
    </row>
    <row r="6" customFormat="false" ht="15" hidden="false" customHeight="false" outlineLevel="0" collapsed="false">
      <c r="A6" s="9" t="s">
        <v>100</v>
      </c>
      <c r="B6" s="12" t="n">
        <v>3</v>
      </c>
      <c r="C6" s="12" t="s">
        <v>267</v>
      </c>
      <c r="D6" s="12" t="s">
        <v>268</v>
      </c>
      <c r="E6" s="12" t="s">
        <v>260</v>
      </c>
      <c r="F6" s="13" t="n">
        <f aca="false">SUMPRODUCT(('Split days'!$A$2:$A$401=A6)/COUNTIFS('Split days'!$A$2:$A$401,'Split days'!$A$2:$A$401&amp;"",'Split days'!$B$2:$B$401,'Split days'!$B$2:$B$401&amp;""))</f>
        <v>3</v>
      </c>
    </row>
    <row r="7" customFormat="false" ht="15" hidden="false" customHeight="false" outlineLevel="0" collapsed="false">
      <c r="A7" s="9" t="s">
        <v>269</v>
      </c>
      <c r="B7" s="12" t="n">
        <v>6</v>
      </c>
      <c r="C7" s="12" t="s">
        <v>270</v>
      </c>
      <c r="D7" s="12" t="s">
        <v>271</v>
      </c>
      <c r="E7" s="12" t="s">
        <v>260</v>
      </c>
      <c r="F7" s="13" t="n">
        <f aca="false">SUMPRODUCT(('Split days'!$A$2:$A$401=A7)/COUNTIFS('Split days'!$A$2:$A$401,'Split days'!$A$2:$A$401&amp;"",'Split days'!$B$2:$B$401,'Split days'!$B$2:$B$401&amp;""))</f>
        <v>6</v>
      </c>
    </row>
    <row r="8" customFormat="false" ht="15" hidden="false" customHeight="false" outlineLevel="0" collapsed="false">
      <c r="A8" s="9" t="s">
        <v>272</v>
      </c>
      <c r="B8" s="12" t="n">
        <v>3</v>
      </c>
      <c r="C8" s="12" t="s">
        <v>273</v>
      </c>
      <c r="D8" s="12" t="s">
        <v>274</v>
      </c>
      <c r="E8" s="12" t="s">
        <v>260</v>
      </c>
      <c r="F8" s="13" t="n">
        <f aca="false">SUMPRODUCT(('Split days'!$A$2:$A$401=A8)/COUNTIFS('Split days'!$A$2:$A$401,'Split days'!$A$2:$A$401&amp;"",'Split days'!$B$2:$B$401,'Split days'!$B$2:$B$401&amp;""))</f>
        <v>3</v>
      </c>
    </row>
    <row r="9" customFormat="false" ht="15" hidden="false" customHeight="false" outlineLevel="0" collapsed="false">
      <c r="A9" s="9" t="s">
        <v>275</v>
      </c>
      <c r="B9" s="12" t="n">
        <v>5</v>
      </c>
      <c r="C9" s="12" t="s">
        <v>276</v>
      </c>
      <c r="D9" s="12" t="s">
        <v>277</v>
      </c>
      <c r="E9" s="12" t="s">
        <v>260</v>
      </c>
      <c r="F9" s="13" t="n">
        <f aca="false">SUMPRODUCT(('Split days'!$A$2:$A$401=A9)/COUNTIFS('Split days'!$A$2:$A$401,'Split days'!$A$2:$A$401&amp;"",'Split days'!$B$2:$B$401,'Split days'!$B$2:$B$401&amp;""))</f>
        <v>5</v>
      </c>
    </row>
    <row r="10" customFormat="false" ht="15" hidden="false" customHeight="false" outlineLevel="0" collapsed="false">
      <c r="A10" s="9" t="s">
        <v>278</v>
      </c>
      <c r="B10" s="12" t="n">
        <v>2</v>
      </c>
      <c r="C10" s="12" t="s">
        <v>279</v>
      </c>
      <c r="D10" s="12" t="s">
        <v>280</v>
      </c>
      <c r="E10" s="12" t="s">
        <v>260</v>
      </c>
      <c r="F10" s="13" t="n">
        <f aca="false">SUMPRODUCT(('Split days'!$A$2:$A$401=A10)/COUNTIFS('Split days'!$A$2:$A$401,'Split days'!$A$2:$A$401&amp;"",'Split days'!$B$2:$B$401,'Split days'!$B$2:$B$401&amp;""))</f>
        <v>2</v>
      </c>
    </row>
    <row r="11" customFormat="false" ht="15" hidden="false" customHeight="false" outlineLevel="0" collapsed="false">
      <c r="A11" s="9" t="s">
        <v>106</v>
      </c>
      <c r="B11" s="12" t="n">
        <v>3</v>
      </c>
      <c r="C11" s="12" t="s">
        <v>281</v>
      </c>
      <c r="D11" s="12" t="s">
        <v>282</v>
      </c>
      <c r="E11" s="12" t="s">
        <v>260</v>
      </c>
      <c r="F11" s="13" t="n">
        <f aca="false">SUMPRODUCT(('Split days'!$A$2:$A$401=A11)/COUNTIFS('Split days'!$A$2:$A$401,'Split days'!$A$2:$A$401&amp;"",'Split days'!$B$2:$B$401,'Split days'!$B$2:$B$401&amp;""))</f>
        <v>3</v>
      </c>
    </row>
  </sheetData>
  <dataValidations count="1">
    <dataValidation allowBlank="true" error="Pick one of the options in the drop-down." errorStyle="stop" errorTitle="Choose from the list" operator="between" showDropDown="false" showErrorMessage="true" showInputMessage="false" sqref="E2:E11"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251</v>
      </c>
      <c r="B1" s="11" t="s">
        <v>283</v>
      </c>
      <c r="C1" s="11" t="s">
        <v>284</v>
      </c>
      <c r="D1" s="11" t="s">
        <v>285</v>
      </c>
      <c r="E1" s="11" t="s">
        <v>286</v>
      </c>
      <c r="F1" s="11" t="s">
        <v>287</v>
      </c>
      <c r="G1" s="11" t="s">
        <v>288</v>
      </c>
      <c r="H1" s="11" t="s">
        <v>289</v>
      </c>
      <c r="I1" s="11" t="s">
        <v>290</v>
      </c>
      <c r="J1" s="11" t="s">
        <v>291</v>
      </c>
    </row>
    <row r="2" customFormat="false" ht="15" hidden="false" customHeight="false" outlineLevel="0" collapsed="false">
      <c r="A2" s="12" t="s">
        <v>257</v>
      </c>
      <c r="B2" s="12" t="s">
        <v>258</v>
      </c>
      <c r="C2" s="12" t="n">
        <v>1</v>
      </c>
      <c r="D2" s="12" t="s">
        <v>292</v>
      </c>
      <c r="E2" s="12" t="s">
        <v>293</v>
      </c>
      <c r="F2" s="12"/>
      <c r="G2" s="12"/>
      <c r="H2" s="12"/>
      <c r="I2" s="12"/>
      <c r="J2" s="12"/>
    </row>
    <row r="3" customFormat="false" ht="15" hidden="false" customHeight="false" outlineLevel="0" collapsed="false">
      <c r="A3" s="12" t="s">
        <v>257</v>
      </c>
      <c r="B3" s="12" t="s">
        <v>258</v>
      </c>
      <c r="C3" s="12" t="n">
        <v>2</v>
      </c>
      <c r="D3" s="12" t="s">
        <v>294</v>
      </c>
      <c r="E3" s="12" t="s">
        <v>293</v>
      </c>
      <c r="F3" s="12"/>
      <c r="G3" s="12"/>
      <c r="H3" s="12"/>
      <c r="I3" s="12"/>
      <c r="J3" s="12"/>
    </row>
    <row r="4" customFormat="false" ht="15" hidden="false" customHeight="false" outlineLevel="0" collapsed="false">
      <c r="A4" s="12" t="s">
        <v>257</v>
      </c>
      <c r="B4" s="12" t="s">
        <v>258</v>
      </c>
      <c r="C4" s="12" t="n">
        <v>3</v>
      </c>
      <c r="D4" s="12" t="s">
        <v>295</v>
      </c>
      <c r="E4" s="12" t="s">
        <v>296</v>
      </c>
      <c r="F4" s="12"/>
      <c r="G4" s="12"/>
      <c r="H4" s="12"/>
      <c r="I4" s="12"/>
      <c r="J4" s="12"/>
    </row>
    <row r="5" customFormat="false" ht="15" hidden="false" customHeight="false" outlineLevel="0" collapsed="false">
      <c r="A5" s="12" t="s">
        <v>257</v>
      </c>
      <c r="B5" s="12" t="s">
        <v>258</v>
      </c>
      <c r="C5" s="12" t="n">
        <v>4</v>
      </c>
      <c r="D5" s="12" t="s">
        <v>297</v>
      </c>
      <c r="E5" s="12" t="s">
        <v>296</v>
      </c>
      <c r="F5" s="12"/>
      <c r="G5" s="12"/>
      <c r="H5" s="12"/>
      <c r="I5" s="12"/>
      <c r="J5" s="12"/>
    </row>
    <row r="6" customFormat="false" ht="15" hidden="false" customHeight="false" outlineLevel="0" collapsed="false">
      <c r="A6" s="12" t="s">
        <v>257</v>
      </c>
      <c r="B6" s="12" t="s">
        <v>258</v>
      </c>
      <c r="C6" s="12" t="n">
        <v>5</v>
      </c>
      <c r="D6" s="12" t="s">
        <v>298</v>
      </c>
      <c r="E6" s="12" t="s">
        <v>296</v>
      </c>
      <c r="F6" s="12"/>
      <c r="G6" s="12"/>
      <c r="H6" s="12"/>
      <c r="I6" s="12"/>
      <c r="J6" s="12"/>
    </row>
    <row r="7" customFormat="false" ht="15" hidden="false" customHeight="false" outlineLevel="0" collapsed="false">
      <c r="A7" s="12" t="s">
        <v>257</v>
      </c>
      <c r="B7" s="12" t="s">
        <v>258</v>
      </c>
      <c r="C7" s="12" t="n">
        <v>6</v>
      </c>
      <c r="D7" s="12" t="s">
        <v>299</v>
      </c>
      <c r="E7" s="12" t="s">
        <v>296</v>
      </c>
      <c r="F7" s="12"/>
      <c r="G7" s="12"/>
      <c r="H7" s="12"/>
      <c r="I7" s="12"/>
      <c r="J7" s="12"/>
    </row>
    <row r="8" customFormat="false" ht="15" hidden="false" customHeight="false" outlineLevel="0" collapsed="false">
      <c r="A8" s="12" t="s">
        <v>84</v>
      </c>
      <c r="B8" s="12" t="s">
        <v>300</v>
      </c>
      <c r="C8" s="12" t="n">
        <v>1</v>
      </c>
      <c r="D8" s="12" t="s">
        <v>292</v>
      </c>
      <c r="E8" s="12" t="s">
        <v>293</v>
      </c>
      <c r="F8" s="12"/>
      <c r="G8" s="12"/>
      <c r="H8" s="12"/>
      <c r="I8" s="12"/>
      <c r="J8" s="12"/>
    </row>
    <row r="9" customFormat="false" ht="15" hidden="false" customHeight="false" outlineLevel="0" collapsed="false">
      <c r="A9" s="12" t="s">
        <v>84</v>
      </c>
      <c r="B9" s="12" t="s">
        <v>300</v>
      </c>
      <c r="C9" s="12" t="n">
        <v>2</v>
      </c>
      <c r="D9" s="12" t="s">
        <v>294</v>
      </c>
      <c r="E9" s="12" t="s">
        <v>293</v>
      </c>
      <c r="F9" s="12"/>
      <c r="G9" s="12"/>
      <c r="H9" s="12"/>
      <c r="I9" s="12"/>
      <c r="J9" s="12"/>
    </row>
    <row r="10" customFormat="false" ht="15" hidden="false" customHeight="false" outlineLevel="0" collapsed="false">
      <c r="A10" s="12" t="s">
        <v>84</v>
      </c>
      <c r="B10" s="12" t="s">
        <v>300</v>
      </c>
      <c r="C10" s="12" t="n">
        <v>3</v>
      </c>
      <c r="D10" s="12" t="s">
        <v>297</v>
      </c>
      <c r="E10" s="12" t="s">
        <v>296</v>
      </c>
      <c r="F10" s="12"/>
      <c r="G10" s="12"/>
      <c r="H10" s="12"/>
      <c r="I10" s="12"/>
      <c r="J10" s="12"/>
    </row>
    <row r="11" customFormat="false" ht="15" hidden="false" customHeight="false" outlineLevel="0" collapsed="false">
      <c r="A11" s="12" t="s">
        <v>84</v>
      </c>
      <c r="B11" s="12" t="s">
        <v>300</v>
      </c>
      <c r="C11" s="12" t="n">
        <v>4</v>
      </c>
      <c r="D11" s="12" t="s">
        <v>301</v>
      </c>
      <c r="E11" s="12" t="s">
        <v>296</v>
      </c>
      <c r="F11" s="12"/>
      <c r="G11" s="12"/>
      <c r="H11" s="12"/>
      <c r="I11" s="12"/>
      <c r="J11" s="12"/>
    </row>
    <row r="12" customFormat="false" ht="15" hidden="false" customHeight="false" outlineLevel="0" collapsed="false">
      <c r="A12" s="12" t="s">
        <v>84</v>
      </c>
      <c r="B12" s="12" t="s">
        <v>300</v>
      </c>
      <c r="C12" s="12" t="n">
        <v>5</v>
      </c>
      <c r="D12" s="12" t="s">
        <v>299</v>
      </c>
      <c r="E12" s="12" t="s">
        <v>296</v>
      </c>
      <c r="F12" s="12"/>
      <c r="G12" s="12"/>
      <c r="H12" s="12"/>
      <c r="I12" s="12"/>
      <c r="J12" s="12"/>
    </row>
    <row r="13" customFormat="false" ht="15" hidden="false" customHeight="false" outlineLevel="0" collapsed="false">
      <c r="A13" s="12" t="s">
        <v>84</v>
      </c>
      <c r="B13" s="12" t="s">
        <v>302</v>
      </c>
      <c r="C13" s="12" t="n">
        <v>1</v>
      </c>
      <c r="D13" s="12" t="s">
        <v>303</v>
      </c>
      <c r="E13" s="12" t="s">
        <v>293</v>
      </c>
      <c r="F13" s="12"/>
      <c r="G13" s="12"/>
      <c r="H13" s="12"/>
      <c r="I13" s="12"/>
      <c r="J13" s="12"/>
    </row>
    <row r="14" customFormat="false" ht="15" hidden="false" customHeight="false" outlineLevel="0" collapsed="false">
      <c r="A14" s="12" t="s">
        <v>84</v>
      </c>
      <c r="B14" s="12" t="s">
        <v>302</v>
      </c>
      <c r="C14" s="12" t="n">
        <v>2</v>
      </c>
      <c r="D14" s="12" t="s">
        <v>298</v>
      </c>
      <c r="E14" s="12" t="s">
        <v>293</v>
      </c>
      <c r="F14" s="12"/>
      <c r="G14" s="12"/>
      <c r="H14" s="12"/>
      <c r="I14" s="12"/>
      <c r="J14" s="12"/>
    </row>
    <row r="15" customFormat="false" ht="15" hidden="false" customHeight="false" outlineLevel="0" collapsed="false">
      <c r="A15" s="12" t="s">
        <v>84</v>
      </c>
      <c r="B15" s="12" t="s">
        <v>302</v>
      </c>
      <c r="C15" s="12" t="n">
        <v>3</v>
      </c>
      <c r="D15" s="12" t="s">
        <v>304</v>
      </c>
      <c r="E15" s="12" t="s">
        <v>296</v>
      </c>
      <c r="F15" s="12"/>
      <c r="G15" s="12"/>
      <c r="H15" s="12"/>
      <c r="I15" s="12"/>
      <c r="J15" s="12"/>
    </row>
    <row r="16" customFormat="false" ht="15" hidden="false" customHeight="false" outlineLevel="0" collapsed="false">
      <c r="A16" s="12" t="s">
        <v>84</v>
      </c>
      <c r="B16" s="12" t="s">
        <v>302</v>
      </c>
      <c r="C16" s="12" t="n">
        <v>4</v>
      </c>
      <c r="D16" s="12" t="s">
        <v>305</v>
      </c>
      <c r="E16" s="12" t="s">
        <v>296</v>
      </c>
      <c r="F16" s="12"/>
      <c r="G16" s="12"/>
      <c r="H16" s="12"/>
      <c r="I16" s="12"/>
      <c r="J16" s="12"/>
    </row>
    <row r="17" customFormat="false" ht="15" hidden="false" customHeight="false" outlineLevel="0" collapsed="false">
      <c r="A17" s="12" t="s">
        <v>84</v>
      </c>
      <c r="B17" s="12" t="s">
        <v>302</v>
      </c>
      <c r="C17" s="12" t="n">
        <v>5</v>
      </c>
      <c r="D17" s="12" t="s">
        <v>306</v>
      </c>
      <c r="E17" s="12" t="s">
        <v>296</v>
      </c>
      <c r="F17" s="12"/>
      <c r="G17" s="12"/>
      <c r="H17" s="12"/>
      <c r="I17" s="12"/>
      <c r="J17" s="12"/>
    </row>
    <row r="18" customFormat="false" ht="15" hidden="false" customHeight="false" outlineLevel="0" collapsed="false">
      <c r="A18" s="12" t="s">
        <v>103</v>
      </c>
      <c r="B18" s="12" t="s">
        <v>300</v>
      </c>
      <c r="C18" s="12" t="n">
        <v>1</v>
      </c>
      <c r="D18" s="12" t="s">
        <v>292</v>
      </c>
      <c r="E18" s="12" t="s">
        <v>293</v>
      </c>
      <c r="F18" s="12"/>
      <c r="G18" s="12"/>
      <c r="H18" s="12"/>
      <c r="I18" s="12"/>
      <c r="J18" s="12"/>
    </row>
    <row r="19" customFormat="false" ht="15" hidden="false" customHeight="false" outlineLevel="0" collapsed="false">
      <c r="A19" s="12" t="s">
        <v>103</v>
      </c>
      <c r="B19" s="12" t="s">
        <v>300</v>
      </c>
      <c r="C19" s="12" t="n">
        <v>2</v>
      </c>
      <c r="D19" s="12" t="s">
        <v>294</v>
      </c>
      <c r="E19" s="12" t="s">
        <v>293</v>
      </c>
      <c r="F19" s="12"/>
      <c r="G19" s="12"/>
      <c r="H19" s="12"/>
      <c r="I19" s="12"/>
      <c r="J19" s="12"/>
    </row>
    <row r="20" customFormat="false" ht="15" hidden="false" customHeight="false" outlineLevel="0" collapsed="false">
      <c r="A20" s="12" t="s">
        <v>103</v>
      </c>
      <c r="B20" s="12" t="s">
        <v>300</v>
      </c>
      <c r="C20" s="12" t="n">
        <v>3</v>
      </c>
      <c r="D20" s="12" t="s">
        <v>297</v>
      </c>
      <c r="E20" s="12" t="s">
        <v>296</v>
      </c>
      <c r="F20" s="12"/>
      <c r="G20" s="12"/>
      <c r="H20" s="12"/>
      <c r="I20" s="12"/>
      <c r="J20" s="12"/>
    </row>
    <row r="21" customFormat="false" ht="15" hidden="false" customHeight="false" outlineLevel="0" collapsed="false">
      <c r="A21" s="12" t="s">
        <v>103</v>
      </c>
      <c r="B21" s="12" t="s">
        <v>300</v>
      </c>
      <c r="C21" s="12" t="n">
        <v>4</v>
      </c>
      <c r="D21" s="12" t="s">
        <v>301</v>
      </c>
      <c r="E21" s="12" t="s">
        <v>296</v>
      </c>
      <c r="F21" s="12"/>
      <c r="G21" s="12"/>
      <c r="H21" s="12"/>
      <c r="I21" s="12"/>
      <c r="J21" s="12"/>
    </row>
    <row r="22" customFormat="false" ht="15" hidden="false" customHeight="false" outlineLevel="0" collapsed="false">
      <c r="A22" s="12" t="s">
        <v>103</v>
      </c>
      <c r="B22" s="12" t="s">
        <v>300</v>
      </c>
      <c r="C22" s="12" t="n">
        <v>5</v>
      </c>
      <c r="D22" s="12" t="s">
        <v>299</v>
      </c>
      <c r="E22" s="12" t="s">
        <v>296</v>
      </c>
      <c r="F22" s="12"/>
      <c r="G22" s="12"/>
      <c r="H22" s="12"/>
      <c r="I22" s="12"/>
      <c r="J22" s="12"/>
    </row>
    <row r="23" customFormat="false" ht="15" hidden="false" customHeight="false" outlineLevel="0" collapsed="false">
      <c r="A23" s="12" t="s">
        <v>103</v>
      </c>
      <c r="B23" s="12" t="s">
        <v>302</v>
      </c>
      <c r="C23" s="12" t="n">
        <v>1</v>
      </c>
      <c r="D23" s="12" t="s">
        <v>303</v>
      </c>
      <c r="E23" s="12" t="s">
        <v>293</v>
      </c>
      <c r="F23" s="12"/>
      <c r="G23" s="12"/>
      <c r="H23" s="12"/>
      <c r="I23" s="12"/>
      <c r="J23" s="12"/>
    </row>
    <row r="24" customFormat="false" ht="15" hidden="false" customHeight="false" outlineLevel="0" collapsed="false">
      <c r="A24" s="12" t="s">
        <v>103</v>
      </c>
      <c r="B24" s="12" t="s">
        <v>302</v>
      </c>
      <c r="C24" s="12" t="n">
        <v>2</v>
      </c>
      <c r="D24" s="12" t="s">
        <v>298</v>
      </c>
      <c r="E24" s="12" t="s">
        <v>293</v>
      </c>
      <c r="F24" s="12"/>
      <c r="G24" s="12"/>
      <c r="H24" s="12"/>
      <c r="I24" s="12"/>
      <c r="J24" s="12"/>
    </row>
    <row r="25" customFormat="false" ht="15" hidden="false" customHeight="false" outlineLevel="0" collapsed="false">
      <c r="A25" s="12" t="s">
        <v>103</v>
      </c>
      <c r="B25" s="12" t="s">
        <v>302</v>
      </c>
      <c r="C25" s="12" t="n">
        <v>3</v>
      </c>
      <c r="D25" s="12" t="s">
        <v>304</v>
      </c>
      <c r="E25" s="12" t="s">
        <v>296</v>
      </c>
      <c r="F25" s="12"/>
      <c r="G25" s="12"/>
      <c r="H25" s="12"/>
      <c r="I25" s="12"/>
      <c r="J25" s="12"/>
    </row>
    <row r="26" customFormat="false" ht="15" hidden="false" customHeight="false" outlineLevel="0" collapsed="false">
      <c r="A26" s="12" t="s">
        <v>103</v>
      </c>
      <c r="B26" s="12" t="s">
        <v>302</v>
      </c>
      <c r="C26" s="12" t="n">
        <v>4</v>
      </c>
      <c r="D26" s="12" t="s">
        <v>305</v>
      </c>
      <c r="E26" s="12" t="s">
        <v>296</v>
      </c>
      <c r="F26" s="12"/>
      <c r="G26" s="12"/>
      <c r="H26" s="12"/>
      <c r="I26" s="12"/>
      <c r="J26" s="12"/>
    </row>
    <row r="27" customFormat="false" ht="15" hidden="false" customHeight="false" outlineLevel="0" collapsed="false">
      <c r="A27" s="12" t="s">
        <v>103</v>
      </c>
      <c r="B27" s="12" t="s">
        <v>302</v>
      </c>
      <c r="C27" s="12" t="n">
        <v>5</v>
      </c>
      <c r="D27" s="12" t="s">
        <v>306</v>
      </c>
      <c r="E27" s="12" t="s">
        <v>296</v>
      </c>
      <c r="F27" s="12"/>
      <c r="G27" s="12"/>
      <c r="H27" s="12"/>
      <c r="I27" s="12"/>
      <c r="J27" s="12"/>
    </row>
    <row r="28" customFormat="false" ht="15" hidden="false" customHeight="false" outlineLevel="0" collapsed="false">
      <c r="A28" s="12" t="s">
        <v>103</v>
      </c>
      <c r="B28" s="12" t="s">
        <v>307</v>
      </c>
      <c r="C28" s="12" t="n">
        <v>1</v>
      </c>
      <c r="D28" s="12" t="s">
        <v>305</v>
      </c>
      <c r="E28" s="12" t="s">
        <v>293</v>
      </c>
      <c r="F28" s="12"/>
      <c r="G28" s="12"/>
      <c r="H28" s="12"/>
      <c r="I28" s="12"/>
      <c r="J28" s="12"/>
    </row>
    <row r="29" customFormat="false" ht="15" hidden="false" customHeight="false" outlineLevel="0" collapsed="false">
      <c r="A29" s="12" t="s">
        <v>103</v>
      </c>
      <c r="B29" s="12" t="s">
        <v>307</v>
      </c>
      <c r="C29" s="12" t="n">
        <v>2</v>
      </c>
      <c r="D29" s="12" t="s">
        <v>304</v>
      </c>
      <c r="E29" s="12" t="s">
        <v>293</v>
      </c>
      <c r="F29" s="12"/>
      <c r="G29" s="12"/>
      <c r="H29" s="12"/>
      <c r="I29" s="12"/>
      <c r="J29" s="12"/>
    </row>
    <row r="30" customFormat="false" ht="15" hidden="false" customHeight="false" outlineLevel="0" collapsed="false">
      <c r="A30" s="12" t="s">
        <v>103</v>
      </c>
      <c r="B30" s="12" t="s">
        <v>307</v>
      </c>
      <c r="C30" s="12" t="n">
        <v>3</v>
      </c>
      <c r="D30" s="12" t="s">
        <v>308</v>
      </c>
      <c r="E30" s="12" t="s">
        <v>296</v>
      </c>
      <c r="F30" s="12"/>
      <c r="G30" s="12"/>
      <c r="H30" s="12"/>
      <c r="I30" s="12"/>
      <c r="J30" s="12"/>
    </row>
    <row r="31" customFormat="false" ht="15" hidden="false" customHeight="false" outlineLevel="0" collapsed="false">
      <c r="A31" s="12" t="s">
        <v>103</v>
      </c>
      <c r="B31" s="12" t="s">
        <v>307</v>
      </c>
      <c r="C31" s="12" t="n">
        <v>4</v>
      </c>
      <c r="D31" s="12" t="s">
        <v>309</v>
      </c>
      <c r="E31" s="12" t="s">
        <v>296</v>
      </c>
      <c r="F31" s="12"/>
      <c r="G31" s="12"/>
      <c r="H31" s="12"/>
      <c r="I31" s="12"/>
      <c r="J31" s="12"/>
    </row>
    <row r="32" customFormat="false" ht="15" hidden="false" customHeight="false" outlineLevel="0" collapsed="false">
      <c r="A32" s="12" t="s">
        <v>103</v>
      </c>
      <c r="B32" s="12" t="s">
        <v>307</v>
      </c>
      <c r="C32" s="12" t="n">
        <v>5</v>
      </c>
      <c r="D32" s="12" t="s">
        <v>310</v>
      </c>
      <c r="E32" s="12" t="s">
        <v>296</v>
      </c>
      <c r="F32" s="12"/>
      <c r="G32" s="12"/>
      <c r="H32" s="12"/>
      <c r="I32" s="12"/>
      <c r="J32" s="12"/>
    </row>
    <row r="33" customFormat="false" ht="15" hidden="false" customHeight="false" outlineLevel="0" collapsed="false">
      <c r="A33" s="12" t="s">
        <v>103</v>
      </c>
      <c r="B33" s="12" t="s">
        <v>307</v>
      </c>
      <c r="C33" s="12" t="n">
        <v>6</v>
      </c>
      <c r="D33" s="12" t="s">
        <v>311</v>
      </c>
      <c r="E33" s="12" t="s">
        <v>296</v>
      </c>
      <c r="F33" s="12"/>
      <c r="G33" s="12"/>
      <c r="H33" s="12"/>
      <c r="I33" s="12"/>
      <c r="J33" s="12"/>
    </row>
    <row r="34" customFormat="false" ht="15" hidden="false" customHeight="false" outlineLevel="0" collapsed="false">
      <c r="A34" s="12" t="s">
        <v>97</v>
      </c>
      <c r="B34" s="12" t="s">
        <v>312</v>
      </c>
      <c r="C34" s="12" t="n">
        <v>1</v>
      </c>
      <c r="D34" s="12" t="s">
        <v>294</v>
      </c>
      <c r="E34" s="12" t="s">
        <v>293</v>
      </c>
      <c r="F34" s="12"/>
      <c r="G34" s="12"/>
      <c r="H34" s="12"/>
      <c r="I34" s="12"/>
      <c r="J34" s="12"/>
    </row>
    <row r="35" customFormat="false" ht="15" hidden="false" customHeight="false" outlineLevel="0" collapsed="false">
      <c r="A35" s="12" t="s">
        <v>97</v>
      </c>
      <c r="B35" s="12" t="s">
        <v>312</v>
      </c>
      <c r="C35" s="12" t="n">
        <v>2</v>
      </c>
      <c r="D35" s="12" t="s">
        <v>297</v>
      </c>
      <c r="E35" s="12" t="s">
        <v>293</v>
      </c>
      <c r="F35" s="12"/>
      <c r="G35" s="12"/>
      <c r="H35" s="12"/>
      <c r="I35" s="12"/>
      <c r="J35" s="12"/>
    </row>
    <row r="36" customFormat="false" ht="15" hidden="false" customHeight="false" outlineLevel="0" collapsed="false">
      <c r="A36" s="12" t="s">
        <v>97</v>
      </c>
      <c r="B36" s="12" t="s">
        <v>312</v>
      </c>
      <c r="C36" s="12" t="n">
        <v>3</v>
      </c>
      <c r="D36" s="12" t="s">
        <v>298</v>
      </c>
      <c r="E36" s="12" t="s">
        <v>296</v>
      </c>
      <c r="F36" s="12"/>
      <c r="G36" s="12"/>
      <c r="H36" s="12"/>
      <c r="I36" s="12"/>
      <c r="J36" s="12"/>
    </row>
    <row r="37" customFormat="false" ht="15" hidden="false" customHeight="false" outlineLevel="0" collapsed="false">
      <c r="A37" s="12" t="s">
        <v>97</v>
      </c>
      <c r="B37" s="12" t="s">
        <v>312</v>
      </c>
      <c r="C37" s="12" t="n">
        <v>4</v>
      </c>
      <c r="D37" s="12" t="s">
        <v>304</v>
      </c>
      <c r="E37" s="12" t="s">
        <v>296</v>
      </c>
      <c r="F37" s="12"/>
      <c r="G37" s="12"/>
      <c r="H37" s="12"/>
      <c r="I37" s="12"/>
      <c r="J37" s="12"/>
    </row>
    <row r="38" customFormat="false" ht="15" hidden="false" customHeight="false" outlineLevel="0" collapsed="false">
      <c r="A38" s="12" t="s">
        <v>97</v>
      </c>
      <c r="B38" s="12" t="s">
        <v>312</v>
      </c>
      <c r="C38" s="12" t="n">
        <v>5</v>
      </c>
      <c r="D38" s="12" t="s">
        <v>313</v>
      </c>
      <c r="E38" s="12" t="s">
        <v>296</v>
      </c>
      <c r="F38" s="12"/>
      <c r="G38" s="12"/>
      <c r="H38" s="12"/>
      <c r="I38" s="12"/>
      <c r="J38" s="12"/>
    </row>
    <row r="39" customFormat="false" ht="15" hidden="false" customHeight="false" outlineLevel="0" collapsed="false">
      <c r="A39" s="12" t="s">
        <v>97</v>
      </c>
      <c r="B39" s="12" t="s">
        <v>314</v>
      </c>
      <c r="C39" s="12" t="n">
        <v>1</v>
      </c>
      <c r="D39" s="12" t="s">
        <v>292</v>
      </c>
      <c r="E39" s="12" t="s">
        <v>293</v>
      </c>
      <c r="F39" s="12"/>
      <c r="G39" s="12"/>
      <c r="H39" s="12"/>
      <c r="I39" s="12"/>
      <c r="J39" s="12"/>
    </row>
    <row r="40" customFormat="false" ht="15" hidden="false" customHeight="false" outlineLevel="0" collapsed="false">
      <c r="A40" s="12" t="s">
        <v>97</v>
      </c>
      <c r="B40" s="12" t="s">
        <v>314</v>
      </c>
      <c r="C40" s="12" t="n">
        <v>2</v>
      </c>
      <c r="D40" s="12" t="s">
        <v>295</v>
      </c>
      <c r="E40" s="12" t="s">
        <v>296</v>
      </c>
      <c r="F40" s="12"/>
      <c r="G40" s="12"/>
      <c r="H40" s="12"/>
      <c r="I40" s="12"/>
      <c r="J40" s="12"/>
    </row>
    <row r="41" customFormat="false" ht="15" hidden="false" customHeight="false" outlineLevel="0" collapsed="false">
      <c r="A41" s="12" t="s">
        <v>97</v>
      </c>
      <c r="B41" s="12" t="s">
        <v>314</v>
      </c>
      <c r="C41" s="12" t="n">
        <v>3</v>
      </c>
      <c r="D41" s="12" t="s">
        <v>305</v>
      </c>
      <c r="E41" s="12" t="s">
        <v>296</v>
      </c>
      <c r="F41" s="12"/>
      <c r="G41" s="12"/>
      <c r="H41" s="12"/>
      <c r="I41" s="12"/>
      <c r="J41" s="12"/>
    </row>
    <row r="42" customFormat="false" ht="15" hidden="false" customHeight="false" outlineLevel="0" collapsed="false">
      <c r="A42" s="12" t="s">
        <v>97</v>
      </c>
      <c r="B42" s="12" t="s">
        <v>314</v>
      </c>
      <c r="C42" s="12" t="n">
        <v>4</v>
      </c>
      <c r="D42" s="12" t="s">
        <v>301</v>
      </c>
      <c r="E42" s="12" t="s">
        <v>296</v>
      </c>
      <c r="F42" s="12"/>
      <c r="G42" s="12"/>
      <c r="H42" s="12"/>
      <c r="I42" s="12"/>
      <c r="J42" s="12"/>
    </row>
    <row r="43" customFormat="false" ht="15" hidden="false" customHeight="false" outlineLevel="0" collapsed="false">
      <c r="A43" s="12" t="s">
        <v>97</v>
      </c>
      <c r="B43" s="12" t="s">
        <v>314</v>
      </c>
      <c r="C43" s="12" t="n">
        <v>5</v>
      </c>
      <c r="D43" s="12" t="s">
        <v>299</v>
      </c>
      <c r="E43" s="12" t="s">
        <v>296</v>
      </c>
      <c r="F43" s="12"/>
      <c r="G43" s="12"/>
      <c r="H43" s="12"/>
      <c r="I43" s="12"/>
      <c r="J43" s="12"/>
    </row>
    <row r="44" customFormat="false" ht="15" hidden="false" customHeight="false" outlineLevel="0" collapsed="false">
      <c r="A44" s="12" t="s">
        <v>97</v>
      </c>
      <c r="B44" s="12" t="s">
        <v>315</v>
      </c>
      <c r="C44" s="12" t="n">
        <v>1</v>
      </c>
      <c r="D44" s="12" t="s">
        <v>298</v>
      </c>
      <c r="E44" s="12" t="s">
        <v>293</v>
      </c>
      <c r="F44" s="12"/>
      <c r="G44" s="12"/>
      <c r="H44" s="12"/>
      <c r="I44" s="12"/>
      <c r="J44" s="12"/>
    </row>
    <row r="45" customFormat="false" ht="15" hidden="false" customHeight="false" outlineLevel="0" collapsed="false">
      <c r="A45" s="12" t="s">
        <v>97</v>
      </c>
      <c r="B45" s="12" t="s">
        <v>315</v>
      </c>
      <c r="C45" s="12" t="n">
        <v>2</v>
      </c>
      <c r="D45" s="12" t="s">
        <v>304</v>
      </c>
      <c r="E45" s="12" t="s">
        <v>293</v>
      </c>
      <c r="F45" s="12"/>
      <c r="G45" s="12"/>
      <c r="H45" s="12"/>
      <c r="I45" s="12"/>
      <c r="J45" s="12"/>
    </row>
    <row r="46" customFormat="false" ht="15" hidden="false" customHeight="false" outlineLevel="0" collapsed="false">
      <c r="A46" s="12" t="s">
        <v>97</v>
      </c>
      <c r="B46" s="12" t="s">
        <v>315</v>
      </c>
      <c r="C46" s="12" t="n">
        <v>3</v>
      </c>
      <c r="D46" s="12" t="s">
        <v>294</v>
      </c>
      <c r="E46" s="12" t="s">
        <v>296</v>
      </c>
      <c r="F46" s="12"/>
      <c r="G46" s="12"/>
      <c r="H46" s="12"/>
      <c r="I46" s="12"/>
      <c r="J46" s="12"/>
    </row>
    <row r="47" customFormat="false" ht="15" hidden="false" customHeight="false" outlineLevel="0" collapsed="false">
      <c r="A47" s="12" t="s">
        <v>97</v>
      </c>
      <c r="B47" s="12" t="s">
        <v>315</v>
      </c>
      <c r="C47" s="12" t="n">
        <v>4</v>
      </c>
      <c r="D47" s="12" t="s">
        <v>297</v>
      </c>
      <c r="E47" s="12" t="s">
        <v>296</v>
      </c>
      <c r="F47" s="12"/>
      <c r="G47" s="12"/>
      <c r="H47" s="12"/>
      <c r="I47" s="12"/>
      <c r="J47" s="12"/>
    </row>
    <row r="48" customFormat="false" ht="15" hidden="false" customHeight="false" outlineLevel="0" collapsed="false">
      <c r="A48" s="12" t="s">
        <v>97</v>
      </c>
      <c r="B48" s="12" t="s">
        <v>315</v>
      </c>
      <c r="C48" s="12" t="n">
        <v>5</v>
      </c>
      <c r="D48" s="12" t="s">
        <v>299</v>
      </c>
      <c r="E48" s="12" t="s">
        <v>296</v>
      </c>
      <c r="F48" s="12"/>
      <c r="G48" s="12"/>
      <c r="H48" s="12"/>
      <c r="I48" s="12"/>
      <c r="J48" s="12"/>
    </row>
    <row r="49" customFormat="false" ht="15" hidden="false" customHeight="false" outlineLevel="0" collapsed="false">
      <c r="A49" s="12" t="s">
        <v>97</v>
      </c>
      <c r="B49" s="12" t="s">
        <v>316</v>
      </c>
      <c r="C49" s="12" t="n">
        <v>1</v>
      </c>
      <c r="D49" s="12" t="s">
        <v>303</v>
      </c>
      <c r="E49" s="12" t="s">
        <v>293</v>
      </c>
      <c r="F49" s="12"/>
      <c r="G49" s="12"/>
      <c r="H49" s="12"/>
      <c r="I49" s="12"/>
      <c r="J49" s="12"/>
    </row>
    <row r="50" customFormat="false" ht="15" hidden="false" customHeight="false" outlineLevel="0" collapsed="false">
      <c r="A50" s="12" t="s">
        <v>97</v>
      </c>
      <c r="B50" s="12" t="s">
        <v>316</v>
      </c>
      <c r="C50" s="12" t="n">
        <v>2</v>
      </c>
      <c r="D50" s="12" t="s">
        <v>305</v>
      </c>
      <c r="E50" s="12" t="s">
        <v>293</v>
      </c>
      <c r="F50" s="12"/>
      <c r="G50" s="12"/>
      <c r="H50" s="12"/>
      <c r="I50" s="12"/>
      <c r="J50" s="12"/>
    </row>
    <row r="51" customFormat="false" ht="15" hidden="false" customHeight="false" outlineLevel="0" collapsed="false">
      <c r="A51" s="12" t="s">
        <v>97</v>
      </c>
      <c r="B51" s="12" t="s">
        <v>316</v>
      </c>
      <c r="C51" s="12" t="n">
        <v>3</v>
      </c>
      <c r="D51" s="12" t="s">
        <v>301</v>
      </c>
      <c r="E51" s="12" t="s">
        <v>296</v>
      </c>
      <c r="F51" s="12"/>
      <c r="G51" s="12"/>
      <c r="H51" s="12"/>
      <c r="I51" s="12"/>
      <c r="J51" s="12"/>
    </row>
    <row r="52" customFormat="false" ht="15" hidden="false" customHeight="false" outlineLevel="0" collapsed="false">
      <c r="A52" s="12" t="s">
        <v>97</v>
      </c>
      <c r="B52" s="12" t="s">
        <v>316</v>
      </c>
      <c r="C52" s="12" t="n">
        <v>4</v>
      </c>
      <c r="D52" s="12" t="s">
        <v>306</v>
      </c>
      <c r="E52" s="12" t="s">
        <v>296</v>
      </c>
      <c r="F52" s="12"/>
      <c r="G52" s="12"/>
      <c r="H52" s="12"/>
      <c r="I52" s="12"/>
      <c r="J52" s="12"/>
    </row>
    <row r="53" customFormat="false" ht="15" hidden="false" customHeight="false" outlineLevel="0" collapsed="false">
      <c r="A53" s="12" t="s">
        <v>100</v>
      </c>
      <c r="B53" s="12" t="s">
        <v>317</v>
      </c>
      <c r="C53" s="12" t="n">
        <v>1</v>
      </c>
      <c r="D53" s="12" t="s">
        <v>294</v>
      </c>
      <c r="E53" s="12" t="s">
        <v>293</v>
      </c>
      <c r="F53" s="12"/>
      <c r="G53" s="12"/>
      <c r="H53" s="12"/>
      <c r="I53" s="12"/>
      <c r="J53" s="12"/>
    </row>
    <row r="54" customFormat="false" ht="15" hidden="false" customHeight="false" outlineLevel="0" collapsed="false">
      <c r="A54" s="12" t="s">
        <v>100</v>
      </c>
      <c r="B54" s="12" t="s">
        <v>317</v>
      </c>
      <c r="C54" s="12" t="n">
        <v>2</v>
      </c>
      <c r="D54" s="12" t="s">
        <v>298</v>
      </c>
      <c r="E54" s="12" t="s">
        <v>293</v>
      </c>
      <c r="F54" s="12"/>
      <c r="G54" s="12"/>
      <c r="H54" s="12"/>
      <c r="I54" s="12"/>
      <c r="J54" s="12"/>
    </row>
    <row r="55" customFormat="false" ht="15" hidden="false" customHeight="false" outlineLevel="0" collapsed="false">
      <c r="A55" s="12" t="s">
        <v>100</v>
      </c>
      <c r="B55" s="12" t="s">
        <v>317</v>
      </c>
      <c r="C55" s="12" t="n">
        <v>3</v>
      </c>
      <c r="D55" s="12" t="s">
        <v>308</v>
      </c>
      <c r="E55" s="12" t="s">
        <v>296</v>
      </c>
      <c r="F55" s="12"/>
      <c r="G55" s="12"/>
      <c r="H55" s="12"/>
      <c r="I55" s="12"/>
      <c r="J55" s="12"/>
    </row>
    <row r="56" customFormat="false" ht="15" hidden="false" customHeight="false" outlineLevel="0" collapsed="false">
      <c r="A56" s="12" t="s">
        <v>100</v>
      </c>
      <c r="B56" s="12" t="s">
        <v>317</v>
      </c>
      <c r="C56" s="12" t="n">
        <v>4</v>
      </c>
      <c r="D56" s="12" t="s">
        <v>318</v>
      </c>
      <c r="E56" s="12" t="s">
        <v>296</v>
      </c>
      <c r="F56" s="12"/>
      <c r="G56" s="12"/>
      <c r="H56" s="12"/>
      <c r="I56" s="12"/>
      <c r="J56" s="12"/>
    </row>
    <row r="57" customFormat="false" ht="15" hidden="false" customHeight="false" outlineLevel="0" collapsed="false">
      <c r="A57" s="12" t="s">
        <v>100</v>
      </c>
      <c r="B57" s="12" t="s">
        <v>317</v>
      </c>
      <c r="C57" s="12" t="n">
        <v>5</v>
      </c>
      <c r="D57" s="12" t="s">
        <v>319</v>
      </c>
      <c r="E57" s="12" t="s">
        <v>296</v>
      </c>
      <c r="F57" s="12"/>
      <c r="G57" s="12"/>
      <c r="H57" s="12"/>
      <c r="I57" s="12"/>
      <c r="J57" s="12"/>
    </row>
    <row r="58" customFormat="false" ht="15" hidden="false" customHeight="false" outlineLevel="0" collapsed="false">
      <c r="A58" s="12" t="s">
        <v>100</v>
      </c>
      <c r="B58" s="12" t="s">
        <v>320</v>
      </c>
      <c r="C58" s="12" t="n">
        <v>1</v>
      </c>
      <c r="D58" s="12" t="s">
        <v>304</v>
      </c>
      <c r="E58" s="12" t="s">
        <v>293</v>
      </c>
      <c r="F58" s="12"/>
      <c r="G58" s="12"/>
      <c r="H58" s="12"/>
      <c r="I58" s="12"/>
      <c r="J58" s="12"/>
    </row>
    <row r="59" customFormat="false" ht="15" hidden="false" customHeight="false" outlineLevel="0" collapsed="false">
      <c r="A59" s="12" t="s">
        <v>100</v>
      </c>
      <c r="B59" s="12" t="s">
        <v>320</v>
      </c>
      <c r="C59" s="12" t="n">
        <v>2</v>
      </c>
      <c r="D59" s="12" t="s">
        <v>297</v>
      </c>
      <c r="E59" s="12" t="s">
        <v>293</v>
      </c>
      <c r="F59" s="12"/>
      <c r="G59" s="12"/>
      <c r="H59" s="12"/>
      <c r="I59" s="12"/>
      <c r="J59" s="12"/>
    </row>
    <row r="60" customFormat="false" ht="15" hidden="false" customHeight="false" outlineLevel="0" collapsed="false">
      <c r="A60" s="12" t="s">
        <v>100</v>
      </c>
      <c r="B60" s="12" t="s">
        <v>320</v>
      </c>
      <c r="C60" s="12" t="n">
        <v>3</v>
      </c>
      <c r="D60" s="12" t="s">
        <v>321</v>
      </c>
      <c r="E60" s="12" t="s">
        <v>296</v>
      </c>
      <c r="F60" s="12"/>
      <c r="G60" s="12"/>
      <c r="H60" s="12"/>
      <c r="I60" s="12"/>
      <c r="J60" s="12"/>
    </row>
    <row r="61" customFormat="false" ht="15" hidden="false" customHeight="false" outlineLevel="0" collapsed="false">
      <c r="A61" s="12" t="s">
        <v>100</v>
      </c>
      <c r="B61" s="12" t="s">
        <v>320</v>
      </c>
      <c r="C61" s="12" t="n">
        <v>4</v>
      </c>
      <c r="D61" s="12" t="s">
        <v>322</v>
      </c>
      <c r="E61" s="12" t="s">
        <v>296</v>
      </c>
      <c r="F61" s="12"/>
      <c r="G61" s="12"/>
      <c r="H61" s="12"/>
      <c r="I61" s="12"/>
      <c r="J61" s="12"/>
    </row>
    <row r="62" customFormat="false" ht="15" hidden="false" customHeight="false" outlineLevel="0" collapsed="false">
      <c r="A62" s="12" t="s">
        <v>100</v>
      </c>
      <c r="B62" s="12" t="s">
        <v>320</v>
      </c>
      <c r="C62" s="12" t="n">
        <v>5</v>
      </c>
      <c r="D62" s="12" t="s">
        <v>323</v>
      </c>
      <c r="E62" s="12" t="s">
        <v>296</v>
      </c>
      <c r="F62" s="12"/>
      <c r="G62" s="12"/>
      <c r="H62" s="12"/>
      <c r="I62" s="12"/>
      <c r="J62" s="12"/>
    </row>
    <row r="63" customFormat="false" ht="15" hidden="false" customHeight="false" outlineLevel="0" collapsed="false">
      <c r="A63" s="12" t="s">
        <v>100</v>
      </c>
      <c r="B63" s="12" t="s">
        <v>324</v>
      </c>
      <c r="C63" s="12" t="n">
        <v>1</v>
      </c>
      <c r="D63" s="12" t="s">
        <v>292</v>
      </c>
      <c r="E63" s="12" t="s">
        <v>293</v>
      </c>
      <c r="F63" s="12"/>
      <c r="G63" s="12"/>
      <c r="H63" s="12"/>
      <c r="I63" s="12"/>
      <c r="J63" s="12"/>
    </row>
    <row r="64" customFormat="false" ht="15" hidden="false" customHeight="false" outlineLevel="0" collapsed="false">
      <c r="A64" s="12" t="s">
        <v>100</v>
      </c>
      <c r="B64" s="12" t="s">
        <v>324</v>
      </c>
      <c r="C64" s="12" t="n">
        <v>2</v>
      </c>
      <c r="D64" s="12" t="s">
        <v>295</v>
      </c>
      <c r="E64" s="12" t="s">
        <v>296</v>
      </c>
      <c r="F64" s="12"/>
      <c r="G64" s="12"/>
      <c r="H64" s="12"/>
      <c r="I64" s="12"/>
      <c r="J64" s="12"/>
    </row>
    <row r="65" customFormat="false" ht="15" hidden="false" customHeight="false" outlineLevel="0" collapsed="false">
      <c r="A65" s="12" t="s">
        <v>100</v>
      </c>
      <c r="B65" s="12" t="s">
        <v>324</v>
      </c>
      <c r="C65" s="12" t="n">
        <v>3</v>
      </c>
      <c r="D65" s="12" t="s">
        <v>305</v>
      </c>
      <c r="E65" s="12" t="s">
        <v>296</v>
      </c>
      <c r="F65" s="12"/>
      <c r="G65" s="12"/>
      <c r="H65" s="12"/>
      <c r="I65" s="12"/>
      <c r="J65" s="12"/>
    </row>
    <row r="66" customFormat="false" ht="15" hidden="false" customHeight="false" outlineLevel="0" collapsed="false">
      <c r="A66" s="12" t="s">
        <v>100</v>
      </c>
      <c r="B66" s="12" t="s">
        <v>324</v>
      </c>
      <c r="C66" s="12" t="n">
        <v>4</v>
      </c>
      <c r="D66" s="12" t="s">
        <v>325</v>
      </c>
      <c r="E66" s="12" t="s">
        <v>296</v>
      </c>
      <c r="F66" s="12"/>
      <c r="G66" s="12"/>
      <c r="H66" s="12"/>
      <c r="I66" s="12"/>
      <c r="J66" s="12"/>
    </row>
    <row r="67" customFormat="false" ht="15" hidden="false" customHeight="false" outlineLevel="0" collapsed="false">
      <c r="A67" s="12" t="s">
        <v>100</v>
      </c>
      <c r="B67" s="12" t="s">
        <v>324</v>
      </c>
      <c r="C67" s="12" t="n">
        <v>5</v>
      </c>
      <c r="D67" s="12" t="s">
        <v>301</v>
      </c>
      <c r="E67" s="12" t="s">
        <v>296</v>
      </c>
      <c r="F67" s="12"/>
      <c r="G67" s="12"/>
      <c r="H67" s="12"/>
      <c r="I67" s="12"/>
      <c r="J67" s="12"/>
    </row>
    <row r="68" customFormat="false" ht="15" hidden="false" customHeight="false" outlineLevel="0" collapsed="false">
      <c r="A68" s="12" t="s">
        <v>100</v>
      </c>
      <c r="B68" s="12" t="s">
        <v>324</v>
      </c>
      <c r="C68" s="12" t="n">
        <v>6</v>
      </c>
      <c r="D68" s="12" t="s">
        <v>299</v>
      </c>
      <c r="E68" s="12" t="s">
        <v>296</v>
      </c>
      <c r="F68" s="12"/>
      <c r="G68" s="12"/>
      <c r="H68" s="12"/>
      <c r="I68" s="12"/>
      <c r="J68" s="12"/>
    </row>
    <row r="69" customFormat="false" ht="15" hidden="false" customHeight="false" outlineLevel="0" collapsed="false">
      <c r="A69" s="12" t="s">
        <v>269</v>
      </c>
      <c r="B69" s="12" t="s">
        <v>326</v>
      </c>
      <c r="C69" s="12" t="n">
        <v>1</v>
      </c>
      <c r="D69" s="12" t="s">
        <v>294</v>
      </c>
      <c r="E69" s="12" t="s">
        <v>293</v>
      </c>
      <c r="F69" s="12"/>
      <c r="G69" s="12"/>
      <c r="H69" s="12"/>
      <c r="I69" s="12"/>
      <c r="J69" s="12"/>
    </row>
    <row r="70" customFormat="false" ht="15" hidden="false" customHeight="false" outlineLevel="0" collapsed="false">
      <c r="A70" s="12" t="s">
        <v>269</v>
      </c>
      <c r="B70" s="12" t="s">
        <v>326</v>
      </c>
      <c r="C70" s="12" t="n">
        <v>2</v>
      </c>
      <c r="D70" s="12" t="s">
        <v>298</v>
      </c>
      <c r="E70" s="12" t="s">
        <v>293</v>
      </c>
      <c r="F70" s="12"/>
      <c r="G70" s="12"/>
      <c r="H70" s="12"/>
      <c r="I70" s="12"/>
      <c r="J70" s="12"/>
    </row>
    <row r="71" customFormat="false" ht="15" hidden="false" customHeight="false" outlineLevel="0" collapsed="false">
      <c r="A71" s="12" t="s">
        <v>269</v>
      </c>
      <c r="B71" s="12" t="s">
        <v>326</v>
      </c>
      <c r="C71" s="12" t="n">
        <v>3</v>
      </c>
      <c r="D71" s="12" t="s">
        <v>308</v>
      </c>
      <c r="E71" s="12" t="s">
        <v>296</v>
      </c>
      <c r="F71" s="12"/>
      <c r="G71" s="12"/>
      <c r="H71" s="12"/>
      <c r="I71" s="12"/>
      <c r="J71" s="12"/>
    </row>
    <row r="72" customFormat="false" ht="15" hidden="false" customHeight="false" outlineLevel="0" collapsed="false">
      <c r="A72" s="12" t="s">
        <v>269</v>
      </c>
      <c r="B72" s="12" t="s">
        <v>326</v>
      </c>
      <c r="C72" s="12" t="n">
        <v>4</v>
      </c>
      <c r="D72" s="12" t="s">
        <v>318</v>
      </c>
      <c r="E72" s="12" t="s">
        <v>296</v>
      </c>
      <c r="F72" s="12"/>
      <c r="G72" s="12"/>
      <c r="H72" s="12"/>
      <c r="I72" s="12"/>
      <c r="J72" s="12"/>
    </row>
    <row r="73" customFormat="false" ht="15" hidden="false" customHeight="false" outlineLevel="0" collapsed="false">
      <c r="A73" s="12" t="s">
        <v>269</v>
      </c>
      <c r="B73" s="12" t="s">
        <v>326</v>
      </c>
      <c r="C73" s="12" t="n">
        <v>5</v>
      </c>
      <c r="D73" s="12" t="s">
        <v>319</v>
      </c>
      <c r="E73" s="12" t="s">
        <v>296</v>
      </c>
      <c r="F73" s="12"/>
      <c r="G73" s="12"/>
      <c r="H73" s="12"/>
      <c r="I73" s="12"/>
      <c r="J73" s="12"/>
    </row>
    <row r="74" customFormat="false" ht="15" hidden="false" customHeight="false" outlineLevel="0" collapsed="false">
      <c r="A74" s="12" t="s">
        <v>269</v>
      </c>
      <c r="B74" s="12" t="s">
        <v>327</v>
      </c>
      <c r="C74" s="12" t="n">
        <v>1</v>
      </c>
      <c r="D74" s="12" t="s">
        <v>304</v>
      </c>
      <c r="E74" s="12" t="s">
        <v>293</v>
      </c>
      <c r="F74" s="12"/>
      <c r="G74" s="12"/>
      <c r="H74" s="12"/>
      <c r="I74" s="12"/>
      <c r="J74" s="12"/>
    </row>
    <row r="75" customFormat="false" ht="15" hidden="false" customHeight="false" outlineLevel="0" collapsed="false">
      <c r="A75" s="12" t="s">
        <v>269</v>
      </c>
      <c r="B75" s="12" t="s">
        <v>327</v>
      </c>
      <c r="C75" s="12" t="n">
        <v>2</v>
      </c>
      <c r="D75" s="12" t="s">
        <v>297</v>
      </c>
      <c r="E75" s="12" t="s">
        <v>293</v>
      </c>
      <c r="F75" s="12"/>
      <c r="G75" s="12"/>
      <c r="H75" s="12"/>
      <c r="I75" s="12"/>
      <c r="J75" s="12"/>
    </row>
    <row r="76" customFormat="false" ht="15" hidden="false" customHeight="false" outlineLevel="0" collapsed="false">
      <c r="A76" s="12" t="s">
        <v>269</v>
      </c>
      <c r="B76" s="12" t="s">
        <v>327</v>
      </c>
      <c r="C76" s="12" t="n">
        <v>3</v>
      </c>
      <c r="D76" s="12" t="s">
        <v>321</v>
      </c>
      <c r="E76" s="12" t="s">
        <v>296</v>
      </c>
      <c r="F76" s="12"/>
      <c r="G76" s="12"/>
      <c r="H76" s="12"/>
      <c r="I76" s="12"/>
      <c r="J76" s="12"/>
    </row>
    <row r="77" customFormat="false" ht="15" hidden="false" customHeight="false" outlineLevel="0" collapsed="false">
      <c r="A77" s="12" t="s">
        <v>269</v>
      </c>
      <c r="B77" s="12" t="s">
        <v>327</v>
      </c>
      <c r="C77" s="12" t="n">
        <v>4</v>
      </c>
      <c r="D77" s="12" t="s">
        <v>322</v>
      </c>
      <c r="E77" s="12" t="s">
        <v>296</v>
      </c>
      <c r="F77" s="12"/>
      <c r="G77" s="12"/>
      <c r="H77" s="12"/>
      <c r="I77" s="12"/>
      <c r="J77" s="12"/>
    </row>
    <row r="78" customFormat="false" ht="15" hidden="false" customHeight="false" outlineLevel="0" collapsed="false">
      <c r="A78" s="12" t="s">
        <v>269</v>
      </c>
      <c r="B78" s="12" t="s">
        <v>327</v>
      </c>
      <c r="C78" s="12" t="n">
        <v>5</v>
      </c>
      <c r="D78" s="12" t="s">
        <v>323</v>
      </c>
      <c r="E78" s="12" t="s">
        <v>296</v>
      </c>
      <c r="F78" s="12"/>
      <c r="G78" s="12"/>
      <c r="H78" s="12"/>
      <c r="I78" s="12"/>
      <c r="J78" s="12"/>
    </row>
    <row r="79" customFormat="false" ht="15" hidden="false" customHeight="false" outlineLevel="0" collapsed="false">
      <c r="A79" s="12" t="s">
        <v>269</v>
      </c>
      <c r="B79" s="12" t="s">
        <v>328</v>
      </c>
      <c r="C79" s="12" t="n">
        <v>1</v>
      </c>
      <c r="D79" s="12" t="s">
        <v>292</v>
      </c>
      <c r="E79" s="12" t="s">
        <v>293</v>
      </c>
      <c r="F79" s="12"/>
      <c r="G79" s="12"/>
      <c r="H79" s="12"/>
      <c r="I79" s="12"/>
      <c r="J79" s="12"/>
    </row>
    <row r="80" customFormat="false" ht="15" hidden="false" customHeight="false" outlineLevel="0" collapsed="false">
      <c r="A80" s="12" t="s">
        <v>269</v>
      </c>
      <c r="B80" s="12" t="s">
        <v>328</v>
      </c>
      <c r="C80" s="12" t="n">
        <v>2</v>
      </c>
      <c r="D80" s="12" t="s">
        <v>295</v>
      </c>
      <c r="E80" s="12" t="s">
        <v>296</v>
      </c>
      <c r="F80" s="12"/>
      <c r="G80" s="12"/>
      <c r="H80" s="12"/>
      <c r="I80" s="12"/>
      <c r="J80" s="12"/>
    </row>
    <row r="81" customFormat="false" ht="15" hidden="false" customHeight="false" outlineLevel="0" collapsed="false">
      <c r="A81" s="12" t="s">
        <v>269</v>
      </c>
      <c r="B81" s="12" t="s">
        <v>328</v>
      </c>
      <c r="C81" s="12" t="n">
        <v>3</v>
      </c>
      <c r="D81" s="12" t="s">
        <v>305</v>
      </c>
      <c r="E81" s="12" t="s">
        <v>296</v>
      </c>
      <c r="F81" s="12"/>
      <c r="G81" s="12"/>
      <c r="H81" s="12"/>
      <c r="I81" s="12"/>
      <c r="J81" s="12"/>
    </row>
    <row r="82" customFormat="false" ht="15" hidden="false" customHeight="false" outlineLevel="0" collapsed="false">
      <c r="A82" s="12" t="s">
        <v>269</v>
      </c>
      <c r="B82" s="12" t="s">
        <v>328</v>
      </c>
      <c r="C82" s="12" t="n">
        <v>4</v>
      </c>
      <c r="D82" s="12" t="s">
        <v>325</v>
      </c>
      <c r="E82" s="12" t="s">
        <v>296</v>
      </c>
      <c r="F82" s="12"/>
      <c r="G82" s="12"/>
      <c r="H82" s="12"/>
      <c r="I82" s="12"/>
      <c r="J82" s="12"/>
    </row>
    <row r="83" customFormat="false" ht="15" hidden="false" customHeight="false" outlineLevel="0" collapsed="false">
      <c r="A83" s="12" t="s">
        <v>269</v>
      </c>
      <c r="B83" s="12" t="s">
        <v>328</v>
      </c>
      <c r="C83" s="12" t="n">
        <v>5</v>
      </c>
      <c r="D83" s="12" t="s">
        <v>301</v>
      </c>
      <c r="E83" s="12" t="s">
        <v>296</v>
      </c>
      <c r="F83" s="12"/>
      <c r="G83" s="12"/>
      <c r="H83" s="12"/>
      <c r="I83" s="12"/>
      <c r="J83" s="12"/>
    </row>
    <row r="84" customFormat="false" ht="15" hidden="false" customHeight="false" outlineLevel="0" collapsed="false">
      <c r="A84" s="12" t="s">
        <v>269</v>
      </c>
      <c r="B84" s="12" t="s">
        <v>328</v>
      </c>
      <c r="C84" s="12" t="n">
        <v>6</v>
      </c>
      <c r="D84" s="12" t="s">
        <v>299</v>
      </c>
      <c r="E84" s="12" t="s">
        <v>296</v>
      </c>
      <c r="F84" s="12"/>
      <c r="G84" s="12"/>
      <c r="H84" s="12"/>
      <c r="I84" s="12"/>
      <c r="J84" s="12"/>
    </row>
    <row r="85" customFormat="false" ht="15" hidden="false" customHeight="false" outlineLevel="0" collapsed="false">
      <c r="A85" s="12" t="s">
        <v>269</v>
      </c>
      <c r="B85" s="12" t="s">
        <v>329</v>
      </c>
      <c r="C85" s="12" t="n">
        <v>1</v>
      </c>
      <c r="D85" s="12" t="s">
        <v>298</v>
      </c>
      <c r="E85" s="12" t="s">
        <v>293</v>
      </c>
      <c r="F85" s="12"/>
      <c r="G85" s="12"/>
      <c r="H85" s="12"/>
      <c r="I85" s="12"/>
      <c r="J85" s="12"/>
    </row>
    <row r="86" customFormat="false" ht="15" hidden="false" customHeight="false" outlineLevel="0" collapsed="false">
      <c r="A86" s="12" t="s">
        <v>269</v>
      </c>
      <c r="B86" s="12" t="s">
        <v>329</v>
      </c>
      <c r="C86" s="12" t="n">
        <v>2</v>
      </c>
      <c r="D86" s="12" t="s">
        <v>330</v>
      </c>
      <c r="E86" s="12" t="s">
        <v>293</v>
      </c>
      <c r="F86" s="12"/>
      <c r="G86" s="12"/>
      <c r="H86" s="12"/>
      <c r="I86" s="12"/>
      <c r="J86" s="12"/>
    </row>
    <row r="87" customFormat="false" ht="15" hidden="false" customHeight="false" outlineLevel="0" collapsed="false">
      <c r="A87" s="12" t="s">
        <v>269</v>
      </c>
      <c r="B87" s="12" t="s">
        <v>329</v>
      </c>
      <c r="C87" s="12" t="n">
        <v>3</v>
      </c>
      <c r="D87" s="12" t="s">
        <v>331</v>
      </c>
      <c r="E87" s="12" t="s">
        <v>296</v>
      </c>
      <c r="F87" s="12"/>
      <c r="G87" s="12"/>
      <c r="H87" s="12"/>
      <c r="I87" s="12"/>
      <c r="J87" s="12"/>
    </row>
    <row r="88" customFormat="false" ht="15" hidden="false" customHeight="false" outlineLevel="0" collapsed="false">
      <c r="A88" s="12" t="s">
        <v>269</v>
      </c>
      <c r="B88" s="12" t="s">
        <v>329</v>
      </c>
      <c r="C88" s="12" t="n">
        <v>4</v>
      </c>
      <c r="D88" s="12" t="s">
        <v>332</v>
      </c>
      <c r="E88" s="12" t="s">
        <v>296</v>
      </c>
      <c r="F88" s="12"/>
      <c r="G88" s="12"/>
      <c r="H88" s="12"/>
      <c r="I88" s="12"/>
      <c r="J88" s="12"/>
    </row>
    <row r="89" customFormat="false" ht="15" hidden="false" customHeight="false" outlineLevel="0" collapsed="false">
      <c r="A89" s="12" t="s">
        <v>269</v>
      </c>
      <c r="B89" s="12" t="s">
        <v>329</v>
      </c>
      <c r="C89" s="12" t="n">
        <v>5</v>
      </c>
      <c r="D89" s="12" t="s">
        <v>333</v>
      </c>
      <c r="E89" s="12" t="s">
        <v>296</v>
      </c>
      <c r="F89" s="12"/>
      <c r="G89" s="12"/>
      <c r="H89" s="12"/>
      <c r="I89" s="12"/>
      <c r="J89" s="12"/>
    </row>
    <row r="90" customFormat="false" ht="15" hidden="false" customHeight="false" outlineLevel="0" collapsed="false">
      <c r="A90" s="12" t="s">
        <v>269</v>
      </c>
      <c r="B90" s="12" t="s">
        <v>334</v>
      </c>
      <c r="C90" s="12" t="n">
        <v>1</v>
      </c>
      <c r="D90" s="12" t="s">
        <v>297</v>
      </c>
      <c r="E90" s="12" t="s">
        <v>293</v>
      </c>
      <c r="F90" s="12"/>
      <c r="G90" s="12"/>
      <c r="H90" s="12"/>
      <c r="I90" s="12"/>
      <c r="J90" s="12"/>
    </row>
    <row r="91" customFormat="false" ht="15" hidden="false" customHeight="false" outlineLevel="0" collapsed="false">
      <c r="A91" s="12" t="s">
        <v>269</v>
      </c>
      <c r="B91" s="12" t="s">
        <v>334</v>
      </c>
      <c r="C91" s="12" t="n">
        <v>2</v>
      </c>
      <c r="D91" s="12" t="s">
        <v>335</v>
      </c>
      <c r="E91" s="12" t="s">
        <v>293</v>
      </c>
      <c r="F91" s="12"/>
      <c r="G91" s="12"/>
      <c r="H91" s="12"/>
      <c r="I91" s="12"/>
      <c r="J91" s="12"/>
    </row>
    <row r="92" customFormat="false" ht="15" hidden="false" customHeight="false" outlineLevel="0" collapsed="false">
      <c r="A92" s="12" t="s">
        <v>269</v>
      </c>
      <c r="B92" s="12" t="s">
        <v>334</v>
      </c>
      <c r="C92" s="12" t="n">
        <v>3</v>
      </c>
      <c r="D92" s="12" t="s">
        <v>336</v>
      </c>
      <c r="E92" s="12" t="s">
        <v>296</v>
      </c>
      <c r="F92" s="12"/>
      <c r="G92" s="12"/>
      <c r="H92" s="12"/>
      <c r="I92" s="12"/>
      <c r="J92" s="12"/>
    </row>
    <row r="93" customFormat="false" ht="15" hidden="false" customHeight="false" outlineLevel="0" collapsed="false">
      <c r="A93" s="12" t="s">
        <v>269</v>
      </c>
      <c r="B93" s="12" t="s">
        <v>334</v>
      </c>
      <c r="C93" s="12" t="n">
        <v>4</v>
      </c>
      <c r="D93" s="12" t="s">
        <v>321</v>
      </c>
      <c r="E93" s="12" t="s">
        <v>296</v>
      </c>
      <c r="F93" s="12"/>
      <c r="G93" s="12"/>
      <c r="H93" s="12"/>
      <c r="I93" s="12"/>
      <c r="J93" s="12"/>
    </row>
    <row r="94" customFormat="false" ht="15" hidden="false" customHeight="false" outlineLevel="0" collapsed="false">
      <c r="A94" s="12" t="s">
        <v>269</v>
      </c>
      <c r="B94" s="12" t="s">
        <v>334</v>
      </c>
      <c r="C94" s="12" t="n">
        <v>5</v>
      </c>
      <c r="D94" s="12" t="s">
        <v>337</v>
      </c>
      <c r="E94" s="12" t="s">
        <v>296</v>
      </c>
      <c r="F94" s="12"/>
      <c r="G94" s="12"/>
      <c r="H94" s="12"/>
      <c r="I94" s="12"/>
      <c r="J94" s="12"/>
    </row>
    <row r="95" customFormat="false" ht="15" hidden="false" customHeight="false" outlineLevel="0" collapsed="false">
      <c r="A95" s="12" t="s">
        <v>269</v>
      </c>
      <c r="B95" s="12" t="s">
        <v>338</v>
      </c>
      <c r="C95" s="12" t="n">
        <v>1</v>
      </c>
      <c r="D95" s="12" t="s">
        <v>339</v>
      </c>
      <c r="E95" s="12" t="s">
        <v>293</v>
      </c>
      <c r="F95" s="12"/>
      <c r="G95" s="12"/>
      <c r="H95" s="12"/>
      <c r="I95" s="12"/>
      <c r="J95" s="12"/>
    </row>
    <row r="96" customFormat="false" ht="15" hidden="false" customHeight="false" outlineLevel="0" collapsed="false">
      <c r="A96" s="12" t="s">
        <v>269</v>
      </c>
      <c r="B96" s="12" t="s">
        <v>338</v>
      </c>
      <c r="C96" s="12" t="n">
        <v>2</v>
      </c>
      <c r="D96" s="12" t="s">
        <v>340</v>
      </c>
      <c r="E96" s="12" t="s">
        <v>296</v>
      </c>
      <c r="F96" s="12"/>
      <c r="G96" s="12"/>
      <c r="H96" s="12"/>
      <c r="I96" s="12"/>
      <c r="J96" s="12"/>
    </row>
    <row r="97" customFormat="false" ht="15" hidden="false" customHeight="false" outlineLevel="0" collapsed="false">
      <c r="A97" s="12" t="s">
        <v>269</v>
      </c>
      <c r="B97" s="12" t="s">
        <v>338</v>
      </c>
      <c r="C97" s="12" t="n">
        <v>3</v>
      </c>
      <c r="D97" s="12" t="s">
        <v>341</v>
      </c>
      <c r="E97" s="12" t="s">
        <v>296</v>
      </c>
      <c r="F97" s="12"/>
      <c r="G97" s="12"/>
      <c r="H97" s="12"/>
      <c r="I97" s="12"/>
      <c r="J97" s="12"/>
    </row>
    <row r="98" customFormat="false" ht="15" hidden="false" customHeight="false" outlineLevel="0" collapsed="false">
      <c r="A98" s="12" t="s">
        <v>269</v>
      </c>
      <c r="B98" s="12" t="s">
        <v>338</v>
      </c>
      <c r="C98" s="12" t="n">
        <v>4</v>
      </c>
      <c r="D98" s="12" t="s">
        <v>342</v>
      </c>
      <c r="E98" s="12" t="s">
        <v>296</v>
      </c>
      <c r="F98" s="12"/>
      <c r="G98" s="12"/>
      <c r="H98" s="12"/>
      <c r="I98" s="12"/>
      <c r="J98" s="12"/>
    </row>
    <row r="99" customFormat="false" ht="15" hidden="false" customHeight="false" outlineLevel="0" collapsed="false">
      <c r="A99" s="12" t="s">
        <v>269</v>
      </c>
      <c r="B99" s="12" t="s">
        <v>338</v>
      </c>
      <c r="C99" s="12" t="n">
        <v>5</v>
      </c>
      <c r="D99" s="12" t="s">
        <v>343</v>
      </c>
      <c r="E99" s="12" t="s">
        <v>296</v>
      </c>
      <c r="F99" s="12"/>
      <c r="G99" s="12"/>
      <c r="H99" s="12"/>
      <c r="I99" s="12"/>
      <c r="J99" s="12"/>
    </row>
    <row r="100" customFormat="false" ht="15" hidden="false" customHeight="false" outlineLevel="0" collapsed="false">
      <c r="A100" s="12" t="s">
        <v>269</v>
      </c>
      <c r="B100" s="12" t="s">
        <v>338</v>
      </c>
      <c r="C100" s="12" t="n">
        <v>6</v>
      </c>
      <c r="D100" s="12" t="s">
        <v>344</v>
      </c>
      <c r="E100" s="12" t="s">
        <v>296</v>
      </c>
      <c r="F100" s="12"/>
      <c r="G100" s="12"/>
      <c r="H100" s="12"/>
      <c r="I100" s="12"/>
      <c r="J100" s="12"/>
    </row>
    <row r="101" customFormat="false" ht="15" hidden="false" customHeight="false" outlineLevel="0" collapsed="false">
      <c r="A101" s="12" t="s">
        <v>272</v>
      </c>
      <c r="B101" s="12" t="s">
        <v>345</v>
      </c>
      <c r="C101" s="12" t="n">
        <v>1</v>
      </c>
      <c r="D101" s="12" t="s">
        <v>294</v>
      </c>
      <c r="E101" s="12" t="s">
        <v>293</v>
      </c>
      <c r="F101" s="12"/>
      <c r="G101" s="12"/>
      <c r="H101" s="12"/>
      <c r="I101" s="12"/>
      <c r="J101" s="12"/>
    </row>
    <row r="102" customFormat="false" ht="15" hidden="false" customHeight="false" outlineLevel="0" collapsed="false">
      <c r="A102" s="12" t="s">
        <v>272</v>
      </c>
      <c r="B102" s="12" t="s">
        <v>345</v>
      </c>
      <c r="C102" s="12" t="n">
        <v>2</v>
      </c>
      <c r="D102" s="12" t="s">
        <v>297</v>
      </c>
      <c r="E102" s="12" t="s">
        <v>293</v>
      </c>
      <c r="F102" s="12"/>
      <c r="G102" s="12"/>
      <c r="H102" s="12"/>
      <c r="I102" s="12"/>
      <c r="J102" s="12"/>
    </row>
    <row r="103" customFormat="false" ht="15" hidden="false" customHeight="false" outlineLevel="0" collapsed="false">
      <c r="A103" s="12" t="s">
        <v>272</v>
      </c>
      <c r="B103" s="12" t="s">
        <v>345</v>
      </c>
      <c r="C103" s="12" t="n">
        <v>3</v>
      </c>
      <c r="D103" s="12" t="s">
        <v>298</v>
      </c>
      <c r="E103" s="12" t="s">
        <v>296</v>
      </c>
      <c r="F103" s="12"/>
      <c r="G103" s="12"/>
      <c r="H103" s="12"/>
      <c r="I103" s="12"/>
      <c r="J103" s="12"/>
    </row>
    <row r="104" customFormat="false" ht="15" hidden="false" customHeight="false" outlineLevel="0" collapsed="false">
      <c r="A104" s="12" t="s">
        <v>272</v>
      </c>
      <c r="B104" s="12" t="s">
        <v>345</v>
      </c>
      <c r="C104" s="12" t="n">
        <v>4</v>
      </c>
      <c r="D104" s="12" t="s">
        <v>304</v>
      </c>
      <c r="E104" s="12" t="s">
        <v>296</v>
      </c>
      <c r="F104" s="12"/>
      <c r="G104" s="12"/>
      <c r="H104" s="12"/>
      <c r="I104" s="12"/>
      <c r="J104" s="12"/>
    </row>
    <row r="105" customFormat="false" ht="15" hidden="false" customHeight="false" outlineLevel="0" collapsed="false">
      <c r="A105" s="12" t="s">
        <v>272</v>
      </c>
      <c r="B105" s="12" t="s">
        <v>345</v>
      </c>
      <c r="C105" s="12" t="n">
        <v>5</v>
      </c>
      <c r="D105" s="12" t="s">
        <v>313</v>
      </c>
      <c r="E105" s="12" t="s">
        <v>296</v>
      </c>
      <c r="F105" s="12"/>
      <c r="G105" s="12"/>
      <c r="H105" s="12"/>
      <c r="I105" s="12"/>
      <c r="J105" s="12"/>
    </row>
    <row r="106" customFormat="false" ht="15" hidden="false" customHeight="false" outlineLevel="0" collapsed="false">
      <c r="A106" s="12" t="s">
        <v>272</v>
      </c>
      <c r="B106" s="12" t="s">
        <v>346</v>
      </c>
      <c r="C106" s="12" t="n">
        <v>1</v>
      </c>
      <c r="D106" s="12" t="s">
        <v>292</v>
      </c>
      <c r="E106" s="12" t="s">
        <v>293</v>
      </c>
      <c r="F106" s="12"/>
      <c r="G106" s="12"/>
      <c r="H106" s="12"/>
      <c r="I106" s="12"/>
      <c r="J106" s="12"/>
    </row>
    <row r="107" customFormat="false" ht="15" hidden="false" customHeight="false" outlineLevel="0" collapsed="false">
      <c r="A107" s="12" t="s">
        <v>272</v>
      </c>
      <c r="B107" s="12" t="s">
        <v>346</v>
      </c>
      <c r="C107" s="12" t="n">
        <v>2</v>
      </c>
      <c r="D107" s="12" t="s">
        <v>295</v>
      </c>
      <c r="E107" s="12" t="s">
        <v>296</v>
      </c>
      <c r="F107" s="12"/>
      <c r="G107" s="12"/>
      <c r="H107" s="12"/>
      <c r="I107" s="12"/>
      <c r="J107" s="12"/>
    </row>
    <row r="108" customFormat="false" ht="15" hidden="false" customHeight="false" outlineLevel="0" collapsed="false">
      <c r="A108" s="12" t="s">
        <v>272</v>
      </c>
      <c r="B108" s="12" t="s">
        <v>346</v>
      </c>
      <c r="C108" s="12" t="n">
        <v>3</v>
      </c>
      <c r="D108" s="12" t="s">
        <v>305</v>
      </c>
      <c r="E108" s="12" t="s">
        <v>296</v>
      </c>
      <c r="F108" s="12"/>
      <c r="G108" s="12"/>
      <c r="H108" s="12"/>
      <c r="I108" s="12"/>
      <c r="J108" s="12"/>
    </row>
    <row r="109" customFormat="false" ht="15" hidden="false" customHeight="false" outlineLevel="0" collapsed="false">
      <c r="A109" s="12" t="s">
        <v>272</v>
      </c>
      <c r="B109" s="12" t="s">
        <v>346</v>
      </c>
      <c r="C109" s="12" t="n">
        <v>4</v>
      </c>
      <c r="D109" s="12" t="s">
        <v>301</v>
      </c>
      <c r="E109" s="12" t="s">
        <v>296</v>
      </c>
      <c r="F109" s="12"/>
      <c r="G109" s="12"/>
      <c r="H109" s="12"/>
      <c r="I109" s="12"/>
      <c r="J109" s="12"/>
    </row>
    <row r="110" customFormat="false" ht="15" hidden="false" customHeight="false" outlineLevel="0" collapsed="false">
      <c r="A110" s="12" t="s">
        <v>272</v>
      </c>
      <c r="B110" s="12" t="s">
        <v>346</v>
      </c>
      <c r="C110" s="12" t="n">
        <v>5</v>
      </c>
      <c r="D110" s="12" t="s">
        <v>299</v>
      </c>
      <c r="E110" s="12" t="s">
        <v>296</v>
      </c>
      <c r="F110" s="12"/>
      <c r="G110" s="12"/>
      <c r="H110" s="12"/>
      <c r="I110" s="12"/>
      <c r="J110" s="12"/>
    </row>
    <row r="111" customFormat="false" ht="15" hidden="false" customHeight="false" outlineLevel="0" collapsed="false">
      <c r="A111" s="12" t="s">
        <v>272</v>
      </c>
      <c r="B111" s="12" t="s">
        <v>258</v>
      </c>
      <c r="C111" s="12" t="n">
        <v>1</v>
      </c>
      <c r="D111" s="12" t="s">
        <v>303</v>
      </c>
      <c r="E111" s="12" t="s">
        <v>293</v>
      </c>
      <c r="F111" s="12"/>
      <c r="G111" s="12"/>
      <c r="H111" s="12"/>
      <c r="I111" s="12"/>
      <c r="J111" s="12"/>
    </row>
    <row r="112" customFormat="false" ht="15" hidden="false" customHeight="false" outlineLevel="0" collapsed="false">
      <c r="A112" s="12" t="s">
        <v>272</v>
      </c>
      <c r="B112" s="12" t="s">
        <v>258</v>
      </c>
      <c r="C112" s="12" t="n">
        <v>2</v>
      </c>
      <c r="D112" s="12" t="s">
        <v>298</v>
      </c>
      <c r="E112" s="12" t="s">
        <v>293</v>
      </c>
      <c r="F112" s="12"/>
      <c r="G112" s="12"/>
      <c r="H112" s="12"/>
      <c r="I112" s="12"/>
      <c r="J112" s="12"/>
    </row>
    <row r="113" customFormat="false" ht="15" hidden="false" customHeight="false" outlineLevel="0" collapsed="false">
      <c r="A113" s="12" t="s">
        <v>272</v>
      </c>
      <c r="B113" s="12" t="s">
        <v>258</v>
      </c>
      <c r="C113" s="12" t="n">
        <v>3</v>
      </c>
      <c r="D113" s="12" t="s">
        <v>304</v>
      </c>
      <c r="E113" s="12" t="s">
        <v>296</v>
      </c>
      <c r="F113" s="12"/>
      <c r="G113" s="12"/>
      <c r="H113" s="12"/>
      <c r="I113" s="12"/>
      <c r="J113" s="12"/>
    </row>
    <row r="114" customFormat="false" ht="15" hidden="false" customHeight="false" outlineLevel="0" collapsed="false">
      <c r="A114" s="12" t="s">
        <v>272</v>
      </c>
      <c r="B114" s="12" t="s">
        <v>258</v>
      </c>
      <c r="C114" s="12" t="n">
        <v>4</v>
      </c>
      <c r="D114" s="12" t="s">
        <v>347</v>
      </c>
      <c r="E114" s="12" t="s">
        <v>296</v>
      </c>
      <c r="F114" s="12"/>
      <c r="G114" s="12"/>
      <c r="H114" s="12"/>
      <c r="I114" s="12"/>
      <c r="J114" s="12"/>
    </row>
    <row r="115" customFormat="false" ht="15" hidden="false" customHeight="false" outlineLevel="0" collapsed="false">
      <c r="A115" s="12" t="s">
        <v>272</v>
      </c>
      <c r="B115" s="12" t="s">
        <v>258</v>
      </c>
      <c r="C115" s="12" t="n">
        <v>5</v>
      </c>
      <c r="D115" s="12" t="s">
        <v>306</v>
      </c>
      <c r="E115" s="12" t="s">
        <v>296</v>
      </c>
      <c r="F115" s="12"/>
      <c r="G115" s="12"/>
      <c r="H115" s="12"/>
      <c r="I115" s="12"/>
      <c r="J115" s="12"/>
    </row>
    <row r="116" customFormat="false" ht="15" hidden="false" customHeight="false" outlineLevel="0" collapsed="false">
      <c r="A116" s="12" t="s">
        <v>275</v>
      </c>
      <c r="B116" s="12" t="s">
        <v>317</v>
      </c>
      <c r="C116" s="12" t="n">
        <v>1</v>
      </c>
      <c r="D116" s="12" t="s">
        <v>294</v>
      </c>
      <c r="E116" s="12" t="s">
        <v>293</v>
      </c>
      <c r="F116" s="12"/>
      <c r="G116" s="12"/>
      <c r="H116" s="12"/>
      <c r="I116" s="12"/>
      <c r="J116" s="12"/>
    </row>
    <row r="117" customFormat="false" ht="15" hidden="false" customHeight="false" outlineLevel="0" collapsed="false">
      <c r="A117" s="12" t="s">
        <v>275</v>
      </c>
      <c r="B117" s="12" t="s">
        <v>317</v>
      </c>
      <c r="C117" s="12" t="n">
        <v>2</v>
      </c>
      <c r="D117" s="12" t="s">
        <v>298</v>
      </c>
      <c r="E117" s="12" t="s">
        <v>293</v>
      </c>
      <c r="F117" s="12"/>
      <c r="G117" s="12"/>
      <c r="H117" s="12"/>
      <c r="I117" s="12"/>
      <c r="J117" s="12"/>
    </row>
    <row r="118" customFormat="false" ht="15" hidden="false" customHeight="false" outlineLevel="0" collapsed="false">
      <c r="A118" s="12" t="s">
        <v>275</v>
      </c>
      <c r="B118" s="12" t="s">
        <v>317</v>
      </c>
      <c r="C118" s="12" t="n">
        <v>3</v>
      </c>
      <c r="D118" s="12" t="s">
        <v>308</v>
      </c>
      <c r="E118" s="12" t="s">
        <v>296</v>
      </c>
      <c r="F118" s="12"/>
      <c r="G118" s="12"/>
      <c r="H118" s="12"/>
      <c r="I118" s="12"/>
      <c r="J118" s="12"/>
    </row>
    <row r="119" customFormat="false" ht="15" hidden="false" customHeight="false" outlineLevel="0" collapsed="false">
      <c r="A119" s="12" t="s">
        <v>275</v>
      </c>
      <c r="B119" s="12" t="s">
        <v>317</v>
      </c>
      <c r="C119" s="12" t="n">
        <v>4</v>
      </c>
      <c r="D119" s="12" t="s">
        <v>318</v>
      </c>
      <c r="E119" s="12" t="s">
        <v>296</v>
      </c>
      <c r="F119" s="12"/>
      <c r="G119" s="12"/>
      <c r="H119" s="12"/>
      <c r="I119" s="12"/>
      <c r="J119" s="12"/>
    </row>
    <row r="120" customFormat="false" ht="15" hidden="false" customHeight="false" outlineLevel="0" collapsed="false">
      <c r="A120" s="12" t="s">
        <v>275</v>
      </c>
      <c r="B120" s="12" t="s">
        <v>317</v>
      </c>
      <c r="C120" s="12" t="n">
        <v>5</v>
      </c>
      <c r="D120" s="12" t="s">
        <v>319</v>
      </c>
      <c r="E120" s="12" t="s">
        <v>296</v>
      </c>
      <c r="F120" s="12"/>
      <c r="G120" s="12"/>
      <c r="H120" s="12"/>
      <c r="I120" s="12"/>
      <c r="J120" s="12"/>
    </row>
    <row r="121" customFormat="false" ht="15" hidden="false" customHeight="false" outlineLevel="0" collapsed="false">
      <c r="A121" s="12" t="s">
        <v>275</v>
      </c>
      <c r="B121" s="12" t="s">
        <v>320</v>
      </c>
      <c r="C121" s="12" t="n">
        <v>1</v>
      </c>
      <c r="D121" s="12" t="s">
        <v>304</v>
      </c>
      <c r="E121" s="12" t="s">
        <v>293</v>
      </c>
      <c r="F121" s="12"/>
      <c r="G121" s="12"/>
      <c r="H121" s="12"/>
      <c r="I121" s="12"/>
      <c r="J121" s="12"/>
    </row>
    <row r="122" customFormat="false" ht="15" hidden="false" customHeight="false" outlineLevel="0" collapsed="false">
      <c r="A122" s="12" t="s">
        <v>275</v>
      </c>
      <c r="B122" s="12" t="s">
        <v>320</v>
      </c>
      <c r="C122" s="12" t="n">
        <v>2</v>
      </c>
      <c r="D122" s="12" t="s">
        <v>297</v>
      </c>
      <c r="E122" s="12" t="s">
        <v>293</v>
      </c>
      <c r="F122" s="12"/>
      <c r="G122" s="12"/>
      <c r="H122" s="12"/>
      <c r="I122" s="12"/>
      <c r="J122" s="12"/>
    </row>
    <row r="123" customFormat="false" ht="15" hidden="false" customHeight="false" outlineLevel="0" collapsed="false">
      <c r="A123" s="12" t="s">
        <v>275</v>
      </c>
      <c r="B123" s="12" t="s">
        <v>320</v>
      </c>
      <c r="C123" s="12" t="n">
        <v>3</v>
      </c>
      <c r="D123" s="12" t="s">
        <v>321</v>
      </c>
      <c r="E123" s="12" t="s">
        <v>296</v>
      </c>
      <c r="F123" s="12"/>
      <c r="G123" s="12"/>
      <c r="H123" s="12"/>
      <c r="I123" s="12"/>
      <c r="J123" s="12"/>
    </row>
    <row r="124" customFormat="false" ht="15" hidden="false" customHeight="false" outlineLevel="0" collapsed="false">
      <c r="A124" s="12" t="s">
        <v>275</v>
      </c>
      <c r="B124" s="12" t="s">
        <v>320</v>
      </c>
      <c r="C124" s="12" t="n">
        <v>4</v>
      </c>
      <c r="D124" s="12" t="s">
        <v>322</v>
      </c>
      <c r="E124" s="12" t="s">
        <v>296</v>
      </c>
      <c r="F124" s="12"/>
      <c r="G124" s="12"/>
      <c r="H124" s="12"/>
      <c r="I124" s="12"/>
      <c r="J124" s="12"/>
    </row>
    <row r="125" customFormat="false" ht="15" hidden="false" customHeight="false" outlineLevel="0" collapsed="false">
      <c r="A125" s="12" t="s">
        <v>275</v>
      </c>
      <c r="B125" s="12" t="s">
        <v>320</v>
      </c>
      <c r="C125" s="12" t="n">
        <v>5</v>
      </c>
      <c r="D125" s="12" t="s">
        <v>323</v>
      </c>
      <c r="E125" s="12" t="s">
        <v>296</v>
      </c>
      <c r="F125" s="12"/>
      <c r="G125" s="12"/>
      <c r="H125" s="12"/>
      <c r="I125" s="12"/>
      <c r="J125" s="12"/>
    </row>
    <row r="126" customFormat="false" ht="15" hidden="false" customHeight="false" outlineLevel="0" collapsed="false">
      <c r="A126" s="12" t="s">
        <v>275</v>
      </c>
      <c r="B126" s="12" t="s">
        <v>324</v>
      </c>
      <c r="C126" s="12" t="n">
        <v>1</v>
      </c>
      <c r="D126" s="12" t="s">
        <v>292</v>
      </c>
      <c r="E126" s="12" t="s">
        <v>293</v>
      </c>
      <c r="F126" s="12"/>
      <c r="G126" s="12"/>
      <c r="H126" s="12"/>
      <c r="I126" s="12"/>
      <c r="J126" s="12"/>
    </row>
    <row r="127" customFormat="false" ht="15" hidden="false" customHeight="false" outlineLevel="0" collapsed="false">
      <c r="A127" s="12" t="s">
        <v>275</v>
      </c>
      <c r="B127" s="12" t="s">
        <v>324</v>
      </c>
      <c r="C127" s="12" t="n">
        <v>2</v>
      </c>
      <c r="D127" s="12" t="s">
        <v>295</v>
      </c>
      <c r="E127" s="12" t="s">
        <v>296</v>
      </c>
      <c r="F127" s="12"/>
      <c r="G127" s="12"/>
      <c r="H127" s="12"/>
      <c r="I127" s="12"/>
      <c r="J127" s="12"/>
    </row>
    <row r="128" customFormat="false" ht="15" hidden="false" customHeight="false" outlineLevel="0" collapsed="false">
      <c r="A128" s="12" t="s">
        <v>275</v>
      </c>
      <c r="B128" s="12" t="s">
        <v>324</v>
      </c>
      <c r="C128" s="12" t="n">
        <v>3</v>
      </c>
      <c r="D128" s="12" t="s">
        <v>305</v>
      </c>
      <c r="E128" s="12" t="s">
        <v>296</v>
      </c>
      <c r="F128" s="12"/>
      <c r="G128" s="12"/>
      <c r="H128" s="12"/>
      <c r="I128" s="12"/>
      <c r="J128" s="12"/>
    </row>
    <row r="129" customFormat="false" ht="15" hidden="false" customHeight="false" outlineLevel="0" collapsed="false">
      <c r="A129" s="12" t="s">
        <v>275</v>
      </c>
      <c r="B129" s="12" t="s">
        <v>324</v>
      </c>
      <c r="C129" s="12" t="n">
        <v>4</v>
      </c>
      <c r="D129" s="12" t="s">
        <v>325</v>
      </c>
      <c r="E129" s="12" t="s">
        <v>296</v>
      </c>
      <c r="F129" s="12"/>
      <c r="G129" s="12"/>
      <c r="H129" s="12"/>
      <c r="I129" s="12"/>
      <c r="J129" s="12"/>
    </row>
    <row r="130" customFormat="false" ht="15" hidden="false" customHeight="false" outlineLevel="0" collapsed="false">
      <c r="A130" s="12" t="s">
        <v>275</v>
      </c>
      <c r="B130" s="12" t="s">
        <v>324</v>
      </c>
      <c r="C130" s="12" t="n">
        <v>5</v>
      </c>
      <c r="D130" s="12" t="s">
        <v>301</v>
      </c>
      <c r="E130" s="12" t="s">
        <v>296</v>
      </c>
      <c r="F130" s="12"/>
      <c r="G130" s="12"/>
      <c r="H130" s="12"/>
      <c r="I130" s="12"/>
      <c r="J130" s="12"/>
    </row>
    <row r="131" customFormat="false" ht="15" hidden="false" customHeight="false" outlineLevel="0" collapsed="false">
      <c r="A131" s="12" t="s">
        <v>275</v>
      </c>
      <c r="B131" s="12" t="s">
        <v>324</v>
      </c>
      <c r="C131" s="12" t="n">
        <v>6</v>
      </c>
      <c r="D131" s="12" t="s">
        <v>299</v>
      </c>
      <c r="E131" s="12" t="s">
        <v>296</v>
      </c>
      <c r="F131" s="12"/>
      <c r="G131" s="12"/>
      <c r="H131" s="12"/>
      <c r="I131" s="12"/>
      <c r="J131" s="12"/>
    </row>
    <row r="132" customFormat="false" ht="15" hidden="false" customHeight="false" outlineLevel="0" collapsed="false">
      <c r="A132" s="12" t="s">
        <v>275</v>
      </c>
      <c r="B132" s="12" t="s">
        <v>345</v>
      </c>
      <c r="C132" s="12" t="n">
        <v>1</v>
      </c>
      <c r="D132" s="12" t="s">
        <v>298</v>
      </c>
      <c r="E132" s="12" t="s">
        <v>293</v>
      </c>
      <c r="F132" s="12"/>
      <c r="G132" s="12"/>
      <c r="H132" s="12"/>
      <c r="I132" s="12"/>
      <c r="J132" s="12"/>
    </row>
    <row r="133" customFormat="false" ht="15" hidden="false" customHeight="false" outlineLevel="0" collapsed="false">
      <c r="A133" s="12" t="s">
        <v>275</v>
      </c>
      <c r="B133" s="12" t="s">
        <v>345</v>
      </c>
      <c r="C133" s="12" t="n">
        <v>2</v>
      </c>
      <c r="D133" s="12" t="s">
        <v>304</v>
      </c>
      <c r="E133" s="12" t="s">
        <v>293</v>
      </c>
      <c r="F133" s="12"/>
      <c r="G133" s="12"/>
      <c r="H133" s="12"/>
      <c r="I133" s="12"/>
      <c r="J133" s="12"/>
    </row>
    <row r="134" customFormat="false" ht="15" hidden="false" customHeight="false" outlineLevel="0" collapsed="false">
      <c r="A134" s="12" t="s">
        <v>275</v>
      </c>
      <c r="B134" s="12" t="s">
        <v>345</v>
      </c>
      <c r="C134" s="12" t="n">
        <v>3</v>
      </c>
      <c r="D134" s="12" t="s">
        <v>294</v>
      </c>
      <c r="E134" s="12" t="s">
        <v>296</v>
      </c>
      <c r="F134" s="12"/>
      <c r="G134" s="12"/>
      <c r="H134" s="12"/>
      <c r="I134" s="12"/>
      <c r="J134" s="12"/>
    </row>
    <row r="135" customFormat="false" ht="15" hidden="false" customHeight="false" outlineLevel="0" collapsed="false">
      <c r="A135" s="12" t="s">
        <v>275</v>
      </c>
      <c r="B135" s="12" t="s">
        <v>345</v>
      </c>
      <c r="C135" s="12" t="n">
        <v>4</v>
      </c>
      <c r="D135" s="12" t="s">
        <v>297</v>
      </c>
      <c r="E135" s="12" t="s">
        <v>296</v>
      </c>
      <c r="F135" s="12"/>
      <c r="G135" s="12"/>
      <c r="H135" s="12"/>
      <c r="I135" s="12"/>
      <c r="J135" s="12"/>
    </row>
    <row r="136" customFormat="false" ht="15" hidden="false" customHeight="false" outlineLevel="0" collapsed="false">
      <c r="A136" s="12" t="s">
        <v>275</v>
      </c>
      <c r="B136" s="12" t="s">
        <v>345</v>
      </c>
      <c r="C136" s="12" t="n">
        <v>5</v>
      </c>
      <c r="D136" s="12" t="s">
        <v>299</v>
      </c>
      <c r="E136" s="12" t="s">
        <v>296</v>
      </c>
      <c r="F136" s="12"/>
      <c r="G136" s="12"/>
      <c r="H136" s="12"/>
      <c r="I136" s="12"/>
      <c r="J136" s="12"/>
    </row>
    <row r="137" customFormat="false" ht="15" hidden="false" customHeight="false" outlineLevel="0" collapsed="false">
      <c r="A137" s="12" t="s">
        <v>275</v>
      </c>
      <c r="B137" s="12" t="s">
        <v>346</v>
      </c>
      <c r="C137" s="12" t="n">
        <v>1</v>
      </c>
      <c r="D137" s="12" t="s">
        <v>303</v>
      </c>
      <c r="E137" s="12" t="s">
        <v>293</v>
      </c>
      <c r="F137" s="12"/>
      <c r="G137" s="12"/>
      <c r="H137" s="12"/>
      <c r="I137" s="12"/>
      <c r="J137" s="12"/>
    </row>
    <row r="138" customFormat="false" ht="15" hidden="false" customHeight="false" outlineLevel="0" collapsed="false">
      <c r="A138" s="12" t="s">
        <v>275</v>
      </c>
      <c r="B138" s="12" t="s">
        <v>346</v>
      </c>
      <c r="C138" s="12" t="n">
        <v>2</v>
      </c>
      <c r="D138" s="12" t="s">
        <v>305</v>
      </c>
      <c r="E138" s="12" t="s">
        <v>293</v>
      </c>
      <c r="F138" s="12"/>
      <c r="G138" s="12"/>
      <c r="H138" s="12"/>
      <c r="I138" s="12"/>
      <c r="J138" s="12"/>
    </row>
    <row r="139" customFormat="false" ht="15" hidden="false" customHeight="false" outlineLevel="0" collapsed="false">
      <c r="A139" s="12" t="s">
        <v>275</v>
      </c>
      <c r="B139" s="12" t="s">
        <v>346</v>
      </c>
      <c r="C139" s="12" t="n">
        <v>3</v>
      </c>
      <c r="D139" s="12" t="s">
        <v>301</v>
      </c>
      <c r="E139" s="12" t="s">
        <v>296</v>
      </c>
      <c r="F139" s="12"/>
      <c r="G139" s="12"/>
      <c r="H139" s="12"/>
      <c r="I139" s="12"/>
      <c r="J139" s="12"/>
    </row>
    <row r="140" customFormat="false" ht="15" hidden="false" customHeight="false" outlineLevel="0" collapsed="false">
      <c r="A140" s="12" t="s">
        <v>275</v>
      </c>
      <c r="B140" s="12" t="s">
        <v>346</v>
      </c>
      <c r="C140" s="12" t="n">
        <v>4</v>
      </c>
      <c r="D140" s="12" t="s">
        <v>306</v>
      </c>
      <c r="E140" s="12" t="s">
        <v>296</v>
      </c>
      <c r="F140" s="12"/>
      <c r="G140" s="12"/>
      <c r="H140" s="12"/>
      <c r="I140" s="12"/>
      <c r="J140" s="12"/>
    </row>
    <row r="141" customFormat="false" ht="15" hidden="false" customHeight="false" outlineLevel="0" collapsed="false">
      <c r="A141" s="12" t="s">
        <v>278</v>
      </c>
      <c r="B141" s="12" t="s">
        <v>348</v>
      </c>
      <c r="C141" s="12" t="n">
        <v>1</v>
      </c>
      <c r="D141" s="12" t="s">
        <v>349</v>
      </c>
      <c r="E141" s="12" t="s">
        <v>293</v>
      </c>
      <c r="F141" s="12" t="n">
        <v>4</v>
      </c>
      <c r="G141" s="12" t="n">
        <v>250</v>
      </c>
      <c r="H141" s="12" t="n">
        <v>250</v>
      </c>
      <c r="I141" s="12" t="n">
        <v>60</v>
      </c>
      <c r="J141" s="12" t="s">
        <v>350</v>
      </c>
    </row>
    <row r="142" customFormat="false" ht="23.85" hidden="false" customHeight="false" outlineLevel="0" collapsed="false">
      <c r="A142" s="12" t="s">
        <v>278</v>
      </c>
      <c r="B142" s="12" t="s">
        <v>348</v>
      </c>
      <c r="C142" s="12" t="n">
        <v>2</v>
      </c>
      <c r="D142" s="12" t="s">
        <v>351</v>
      </c>
      <c r="E142" s="12" t="s">
        <v>293</v>
      </c>
      <c r="F142" s="12" t="n">
        <v>4</v>
      </c>
      <c r="G142" s="12" t="n">
        <v>25</v>
      </c>
      <c r="H142" s="12" t="n">
        <v>25</v>
      </c>
      <c r="I142" s="12" t="n">
        <v>90</v>
      </c>
      <c r="J142" s="12" t="s">
        <v>352</v>
      </c>
    </row>
    <row r="143" customFormat="false" ht="15" hidden="false" customHeight="false" outlineLevel="0" collapsed="false">
      <c r="A143" s="12" t="s">
        <v>278</v>
      </c>
      <c r="B143" s="12" t="s">
        <v>348</v>
      </c>
      <c r="C143" s="12" t="n">
        <v>3</v>
      </c>
      <c r="D143" s="12" t="s">
        <v>353</v>
      </c>
      <c r="E143" s="12" t="s">
        <v>296</v>
      </c>
      <c r="F143" s="12" t="n">
        <v>3</v>
      </c>
      <c r="G143" s="12" t="n">
        <v>20</v>
      </c>
      <c r="H143" s="12" t="n">
        <v>20</v>
      </c>
      <c r="I143" s="12" t="n">
        <v>60</v>
      </c>
      <c r="J143" s="12" t="s">
        <v>350</v>
      </c>
    </row>
    <row r="144" customFormat="false" ht="15" hidden="false" customHeight="false" outlineLevel="0" collapsed="false">
      <c r="A144" s="12" t="s">
        <v>278</v>
      </c>
      <c r="B144" s="12" t="s">
        <v>348</v>
      </c>
      <c r="C144" s="12" t="n">
        <v>4</v>
      </c>
      <c r="D144" s="12" t="s">
        <v>354</v>
      </c>
      <c r="E144" s="12" t="s">
        <v>296</v>
      </c>
      <c r="F144" s="12" t="n">
        <v>4</v>
      </c>
      <c r="G144" s="12" t="n">
        <v>15</v>
      </c>
      <c r="H144" s="12" t="n">
        <v>20</v>
      </c>
      <c r="I144" s="12" t="n">
        <v>60</v>
      </c>
      <c r="J144" s="12"/>
    </row>
    <row r="145" customFormat="false" ht="15" hidden="false" customHeight="false" outlineLevel="0" collapsed="false">
      <c r="A145" s="12" t="s">
        <v>278</v>
      </c>
      <c r="B145" s="12" t="s">
        <v>348</v>
      </c>
      <c r="C145" s="12" t="n">
        <v>5</v>
      </c>
      <c r="D145" s="12" t="s">
        <v>299</v>
      </c>
      <c r="E145" s="12" t="s">
        <v>296</v>
      </c>
      <c r="F145" s="12"/>
      <c r="G145" s="12"/>
      <c r="H145" s="12"/>
      <c r="I145" s="12"/>
      <c r="J145" s="12"/>
    </row>
    <row r="146" customFormat="false" ht="15" hidden="false" customHeight="false" outlineLevel="0" collapsed="false">
      <c r="A146" s="12" t="s">
        <v>278</v>
      </c>
      <c r="B146" s="12" t="s">
        <v>355</v>
      </c>
      <c r="C146" s="12" t="n">
        <v>1</v>
      </c>
      <c r="D146" s="12" t="s">
        <v>356</v>
      </c>
      <c r="E146" s="12" t="s">
        <v>293</v>
      </c>
      <c r="F146" s="12" t="n">
        <v>4</v>
      </c>
      <c r="G146" s="12" t="n">
        <v>250</v>
      </c>
      <c r="H146" s="12" t="n">
        <v>250</v>
      </c>
      <c r="I146" s="12" t="n">
        <v>60</v>
      </c>
      <c r="J146" s="12" t="s">
        <v>350</v>
      </c>
    </row>
    <row r="147" customFormat="false" ht="23.85" hidden="false" customHeight="false" outlineLevel="0" collapsed="false">
      <c r="A147" s="12" t="s">
        <v>278</v>
      </c>
      <c r="B147" s="12" t="s">
        <v>355</v>
      </c>
      <c r="C147" s="12" t="n">
        <v>2</v>
      </c>
      <c r="D147" s="12" t="s">
        <v>357</v>
      </c>
      <c r="E147" s="12" t="s">
        <v>293</v>
      </c>
      <c r="F147" s="12" t="n">
        <v>4</v>
      </c>
      <c r="G147" s="12" t="n">
        <v>25</v>
      </c>
      <c r="H147" s="12" t="n">
        <v>25</v>
      </c>
      <c r="I147" s="12" t="n">
        <v>90</v>
      </c>
      <c r="J147" s="12" t="s">
        <v>352</v>
      </c>
    </row>
    <row r="148" customFormat="false" ht="15" hidden="false" customHeight="false" outlineLevel="0" collapsed="false">
      <c r="A148" s="12" t="s">
        <v>278</v>
      </c>
      <c r="B148" s="12" t="s">
        <v>355</v>
      </c>
      <c r="C148" s="12" t="n">
        <v>3</v>
      </c>
      <c r="D148" s="12" t="s">
        <v>358</v>
      </c>
      <c r="E148" s="12" t="s">
        <v>296</v>
      </c>
      <c r="F148" s="12" t="n">
        <v>4</v>
      </c>
      <c r="G148" s="12" t="n">
        <v>50</v>
      </c>
      <c r="H148" s="12" t="n">
        <v>50</v>
      </c>
      <c r="I148" s="12" t="n">
        <v>60</v>
      </c>
      <c r="J148" s="12" t="s">
        <v>359</v>
      </c>
    </row>
    <row r="149" customFormat="false" ht="15" hidden="false" customHeight="false" outlineLevel="0" collapsed="false">
      <c r="A149" s="12" t="s">
        <v>278</v>
      </c>
      <c r="B149" s="12" t="s">
        <v>355</v>
      </c>
      <c r="C149" s="12" t="n">
        <v>4</v>
      </c>
      <c r="D149" s="12" t="s">
        <v>360</v>
      </c>
      <c r="E149" s="12" t="s">
        <v>296</v>
      </c>
      <c r="F149" s="12" t="n">
        <v>3</v>
      </c>
      <c r="G149" s="12" t="n">
        <v>25</v>
      </c>
      <c r="H149" s="12" t="n">
        <v>25</v>
      </c>
      <c r="I149" s="12" t="n">
        <v>60</v>
      </c>
      <c r="J149" s="12" t="s">
        <v>350</v>
      </c>
    </row>
    <row r="150" customFormat="false" ht="15" hidden="false" customHeight="false" outlineLevel="0" collapsed="false">
      <c r="A150" s="12" t="s">
        <v>278</v>
      </c>
      <c r="B150" s="12" t="s">
        <v>355</v>
      </c>
      <c r="C150" s="12" t="n">
        <v>5</v>
      </c>
      <c r="D150" s="12" t="s">
        <v>306</v>
      </c>
      <c r="E150" s="12" t="s">
        <v>296</v>
      </c>
      <c r="F150" s="12"/>
      <c r="G150" s="12"/>
      <c r="H150" s="12"/>
      <c r="I150" s="12"/>
      <c r="J150" s="12"/>
    </row>
    <row r="151" customFormat="false" ht="15" hidden="false" customHeight="false" outlineLevel="0" collapsed="false">
      <c r="A151" s="12" t="s">
        <v>106</v>
      </c>
      <c r="B151" s="12" t="s">
        <v>361</v>
      </c>
      <c r="C151" s="12" t="n">
        <v>1</v>
      </c>
      <c r="D151" s="12" t="s">
        <v>292</v>
      </c>
      <c r="E151" s="12" t="s">
        <v>293</v>
      </c>
      <c r="F151" s="12"/>
      <c r="G151" s="12"/>
      <c r="H151" s="12"/>
      <c r="I151" s="12"/>
      <c r="J151" s="12"/>
    </row>
    <row r="152" customFormat="false" ht="15" hidden="false" customHeight="false" outlineLevel="0" collapsed="false">
      <c r="A152" s="12" t="s">
        <v>106</v>
      </c>
      <c r="B152" s="12" t="s">
        <v>361</v>
      </c>
      <c r="C152" s="12" t="n">
        <v>2</v>
      </c>
      <c r="D152" s="12" t="s">
        <v>294</v>
      </c>
      <c r="E152" s="12" t="s">
        <v>293</v>
      </c>
      <c r="F152" s="12"/>
      <c r="G152" s="12"/>
      <c r="H152" s="12"/>
      <c r="I152" s="12"/>
      <c r="J152" s="12"/>
    </row>
    <row r="153" customFormat="false" ht="15" hidden="false" customHeight="false" outlineLevel="0" collapsed="false">
      <c r="A153" s="12" t="s">
        <v>106</v>
      </c>
      <c r="B153" s="12" t="s">
        <v>361</v>
      </c>
      <c r="C153" s="12" t="n">
        <v>3</v>
      </c>
      <c r="D153" s="12" t="s">
        <v>297</v>
      </c>
      <c r="E153" s="12" t="s">
        <v>296</v>
      </c>
      <c r="F153" s="12"/>
      <c r="G153" s="12"/>
      <c r="H153" s="12"/>
      <c r="I153" s="12"/>
      <c r="J153" s="12"/>
    </row>
    <row r="154" customFormat="false" ht="15" hidden="false" customHeight="false" outlineLevel="0" collapsed="false">
      <c r="A154" s="12" t="s">
        <v>106</v>
      </c>
      <c r="B154" s="12" t="s">
        <v>361</v>
      </c>
      <c r="C154" s="12" t="n">
        <v>4</v>
      </c>
      <c r="D154" s="12" t="s">
        <v>301</v>
      </c>
      <c r="E154" s="12" t="s">
        <v>296</v>
      </c>
      <c r="F154" s="12"/>
      <c r="G154" s="12"/>
      <c r="H154" s="12"/>
      <c r="I154" s="12"/>
      <c r="J154" s="12"/>
    </row>
    <row r="155" customFormat="false" ht="15" hidden="false" customHeight="false" outlineLevel="0" collapsed="false">
      <c r="A155" s="12" t="s">
        <v>106</v>
      </c>
      <c r="B155" s="12" t="s">
        <v>361</v>
      </c>
      <c r="C155" s="12" t="n">
        <v>5</v>
      </c>
      <c r="D155" s="12" t="s">
        <v>299</v>
      </c>
      <c r="E155" s="12" t="s">
        <v>296</v>
      </c>
      <c r="F155" s="12"/>
      <c r="G155" s="12"/>
      <c r="H155" s="12"/>
      <c r="I155" s="12"/>
      <c r="J155" s="12"/>
    </row>
    <row r="156" customFormat="false" ht="15" hidden="false" customHeight="false" outlineLevel="0" collapsed="false">
      <c r="A156" s="12" t="s">
        <v>106</v>
      </c>
      <c r="B156" s="12" t="s">
        <v>362</v>
      </c>
      <c r="C156" s="12" t="n">
        <v>1</v>
      </c>
      <c r="D156" s="12" t="s">
        <v>349</v>
      </c>
      <c r="E156" s="12" t="s">
        <v>293</v>
      </c>
      <c r="F156" s="12" t="n">
        <v>3</v>
      </c>
      <c r="G156" s="12" t="n">
        <v>250</v>
      </c>
      <c r="H156" s="12" t="n">
        <v>250</v>
      </c>
      <c r="I156" s="12" t="n">
        <v>45</v>
      </c>
      <c r="J156" s="12" t="s">
        <v>350</v>
      </c>
    </row>
    <row r="157" customFormat="false" ht="15" hidden="false" customHeight="false" outlineLevel="0" collapsed="false">
      <c r="A157" s="12" t="s">
        <v>106</v>
      </c>
      <c r="B157" s="12" t="s">
        <v>362</v>
      </c>
      <c r="C157" s="12" t="n">
        <v>2</v>
      </c>
      <c r="D157" s="12" t="s">
        <v>351</v>
      </c>
      <c r="E157" s="12" t="s">
        <v>293</v>
      </c>
      <c r="F157" s="12" t="n">
        <v>3</v>
      </c>
      <c r="G157" s="12" t="n">
        <v>25</v>
      </c>
      <c r="H157" s="12" t="n">
        <v>25</v>
      </c>
      <c r="I157" s="12" t="n">
        <v>75</v>
      </c>
      <c r="J157" s="12" t="s">
        <v>350</v>
      </c>
    </row>
    <row r="158" customFormat="false" ht="15" hidden="false" customHeight="false" outlineLevel="0" collapsed="false">
      <c r="A158" s="12" t="s">
        <v>106</v>
      </c>
      <c r="B158" s="12" t="s">
        <v>362</v>
      </c>
      <c r="C158" s="12" t="n">
        <v>3</v>
      </c>
      <c r="D158" s="12" t="s">
        <v>357</v>
      </c>
      <c r="E158" s="12" t="s">
        <v>296</v>
      </c>
      <c r="F158" s="12" t="n">
        <v>3</v>
      </c>
      <c r="G158" s="12" t="n">
        <v>25</v>
      </c>
      <c r="H158" s="12" t="n">
        <v>25</v>
      </c>
      <c r="I158" s="12" t="n">
        <v>75</v>
      </c>
      <c r="J158" s="12" t="s">
        <v>350</v>
      </c>
    </row>
    <row r="159" customFormat="false" ht="15" hidden="false" customHeight="false" outlineLevel="0" collapsed="false">
      <c r="A159" s="12" t="s">
        <v>106</v>
      </c>
      <c r="B159" s="12" t="s">
        <v>362</v>
      </c>
      <c r="C159" s="12" t="n">
        <v>4</v>
      </c>
      <c r="D159" s="12" t="s">
        <v>353</v>
      </c>
      <c r="E159" s="12" t="s">
        <v>296</v>
      </c>
      <c r="F159" s="12" t="n">
        <v>3</v>
      </c>
      <c r="G159" s="12" t="n">
        <v>20</v>
      </c>
      <c r="H159" s="12" t="n">
        <v>20</v>
      </c>
      <c r="I159" s="12" t="n">
        <v>45</v>
      </c>
      <c r="J159" s="12" t="s">
        <v>350</v>
      </c>
    </row>
    <row r="160" customFormat="false" ht="15" hidden="false" customHeight="false" outlineLevel="0" collapsed="false">
      <c r="A160" s="12" t="s">
        <v>106</v>
      </c>
      <c r="B160" s="12" t="s">
        <v>362</v>
      </c>
      <c r="C160" s="12" t="n">
        <v>5</v>
      </c>
      <c r="D160" s="12" t="s">
        <v>356</v>
      </c>
      <c r="E160" s="12" t="s">
        <v>296</v>
      </c>
      <c r="F160" s="12" t="n">
        <v>3</v>
      </c>
      <c r="G160" s="12" t="n">
        <v>250</v>
      </c>
      <c r="H160" s="12" t="n">
        <v>250</v>
      </c>
      <c r="I160" s="12" t="n">
        <v>45</v>
      </c>
      <c r="J160" s="12" t="s">
        <v>350</v>
      </c>
    </row>
    <row r="161" customFormat="false" ht="15" hidden="false" customHeight="false" outlineLevel="0" collapsed="false">
      <c r="A161" s="12" t="s">
        <v>106</v>
      </c>
      <c r="B161" s="12" t="s">
        <v>362</v>
      </c>
      <c r="C161" s="12" t="n">
        <v>6</v>
      </c>
      <c r="D161" s="12" t="s">
        <v>358</v>
      </c>
      <c r="E161" s="12" t="s">
        <v>296</v>
      </c>
      <c r="F161" s="12" t="n">
        <v>3</v>
      </c>
      <c r="G161" s="12" t="n">
        <v>50</v>
      </c>
      <c r="H161" s="12" t="n">
        <v>50</v>
      </c>
      <c r="I161" s="12" t="n">
        <v>45</v>
      </c>
      <c r="J161" s="12" t="s">
        <v>359</v>
      </c>
    </row>
    <row r="162" customFormat="false" ht="15" hidden="false" customHeight="false" outlineLevel="0" collapsed="false">
      <c r="A162" s="12" t="s">
        <v>106</v>
      </c>
      <c r="B162" s="12" t="s">
        <v>362</v>
      </c>
      <c r="C162" s="12" t="n">
        <v>7</v>
      </c>
      <c r="D162" s="12" t="s">
        <v>360</v>
      </c>
      <c r="E162" s="12" t="s">
        <v>296</v>
      </c>
      <c r="F162" s="12" t="n">
        <v>3</v>
      </c>
      <c r="G162" s="12" t="n">
        <v>25</v>
      </c>
      <c r="H162" s="12" t="n">
        <v>25</v>
      </c>
      <c r="I162" s="12" t="n">
        <v>45</v>
      </c>
      <c r="J162" s="12" t="s">
        <v>350</v>
      </c>
    </row>
    <row r="163" customFormat="false" ht="15" hidden="false" customHeight="false" outlineLevel="0" collapsed="false">
      <c r="A163" s="12" t="s">
        <v>106</v>
      </c>
      <c r="B163" s="12" t="s">
        <v>362</v>
      </c>
      <c r="C163" s="12" t="n">
        <v>8</v>
      </c>
      <c r="D163" s="12" t="s">
        <v>354</v>
      </c>
      <c r="E163" s="12" t="s">
        <v>296</v>
      </c>
      <c r="F163" s="12" t="n">
        <v>3</v>
      </c>
      <c r="G163" s="12" t="n">
        <v>20</v>
      </c>
      <c r="H163" s="12" t="n">
        <v>20</v>
      </c>
      <c r="I163" s="12" t="n">
        <v>45</v>
      </c>
      <c r="J163" s="12"/>
    </row>
    <row r="164" customFormat="false" ht="15" hidden="false" customHeight="false" outlineLevel="0" collapsed="false">
      <c r="A164" s="12" t="s">
        <v>106</v>
      </c>
      <c r="B164" s="12" t="s">
        <v>363</v>
      </c>
      <c r="C164" s="12" t="n">
        <v>1</v>
      </c>
      <c r="D164" s="12" t="s">
        <v>303</v>
      </c>
      <c r="E164" s="12" t="s">
        <v>293</v>
      </c>
      <c r="F164" s="12"/>
      <c r="G164" s="12"/>
      <c r="H164" s="12"/>
      <c r="I164" s="12"/>
      <c r="J164" s="12"/>
    </row>
    <row r="165" customFormat="false" ht="15" hidden="false" customHeight="false" outlineLevel="0" collapsed="false">
      <c r="A165" s="12" t="s">
        <v>106</v>
      </c>
      <c r="B165" s="12" t="s">
        <v>363</v>
      </c>
      <c r="C165" s="12" t="n">
        <v>2</v>
      </c>
      <c r="D165" s="12" t="s">
        <v>304</v>
      </c>
      <c r="E165" s="12" t="s">
        <v>293</v>
      </c>
      <c r="F165" s="12"/>
      <c r="G165" s="12"/>
      <c r="H165" s="12"/>
      <c r="I165" s="12"/>
      <c r="J165" s="12"/>
    </row>
    <row r="166" customFormat="false" ht="15" hidden="false" customHeight="false" outlineLevel="0" collapsed="false">
      <c r="A166" s="12" t="s">
        <v>106</v>
      </c>
      <c r="B166" s="12" t="s">
        <v>363</v>
      </c>
      <c r="C166" s="12" t="n">
        <v>3</v>
      </c>
      <c r="D166" s="12" t="s">
        <v>305</v>
      </c>
      <c r="E166" s="12" t="s">
        <v>296</v>
      </c>
      <c r="F166" s="12"/>
      <c r="G166" s="12"/>
      <c r="H166" s="12"/>
      <c r="I166" s="12"/>
      <c r="J166" s="12"/>
    </row>
    <row r="167" customFormat="false" ht="15" hidden="false" customHeight="false" outlineLevel="0" collapsed="false">
      <c r="A167" s="12" t="s">
        <v>106</v>
      </c>
      <c r="B167" s="12" t="s">
        <v>363</v>
      </c>
      <c r="C167" s="12" t="n">
        <v>4</v>
      </c>
      <c r="D167" s="12" t="s">
        <v>298</v>
      </c>
      <c r="E167" s="12" t="s">
        <v>296</v>
      </c>
      <c r="F167" s="12"/>
      <c r="G167" s="12"/>
      <c r="H167" s="12"/>
      <c r="I167" s="12"/>
      <c r="J167" s="12"/>
    </row>
    <row r="168" customFormat="false" ht="15" hidden="false" customHeight="false" outlineLevel="0" collapsed="false">
      <c r="A168" s="12" t="s">
        <v>106</v>
      </c>
      <c r="B168" s="12" t="s">
        <v>363</v>
      </c>
      <c r="C168" s="12" t="n">
        <v>5</v>
      </c>
      <c r="D168" s="12" t="s">
        <v>306</v>
      </c>
      <c r="E168" s="12" t="s">
        <v>296</v>
      </c>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85.05" hidden="false" customHeight="false" outlineLevel="0" collapsed="false">
      <c r="A170" s="17" t="s">
        <v>364</v>
      </c>
      <c r="B170" s="12"/>
      <c r="C170" s="12"/>
      <c r="D170" s="12"/>
      <c r="E170" s="12"/>
      <c r="F170" s="12"/>
      <c r="G170" s="12"/>
      <c r="H170" s="12"/>
      <c r="I170" s="12"/>
      <c r="J170" s="12"/>
    </row>
    <row r="171" customFormat="false" ht="32.8" hidden="false" customHeight="false" outlineLevel="0" collapsed="false">
      <c r="A171" s="17" t="s">
        <v>365</v>
      </c>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Lists!$E$2:$E$11</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Lists!$I$2:$I$92</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63</v>
      </c>
      <c r="B1" s="11" t="s">
        <v>286</v>
      </c>
      <c r="C1" s="11" t="s">
        <v>287</v>
      </c>
      <c r="D1" s="11" t="s">
        <v>288</v>
      </c>
      <c r="E1" s="11" t="s">
        <v>289</v>
      </c>
      <c r="F1" s="11" t="s">
        <v>290</v>
      </c>
      <c r="G1" s="11" t="s">
        <v>291</v>
      </c>
    </row>
    <row r="2" customFormat="false" ht="15" hidden="false" customHeight="false" outlineLevel="0" collapsed="false">
      <c r="A2" s="16" t="s">
        <v>82</v>
      </c>
      <c r="B2" s="16" t="s">
        <v>293</v>
      </c>
      <c r="C2" s="12" t="n">
        <v>3</v>
      </c>
      <c r="D2" s="12" t="n">
        <v>5</v>
      </c>
      <c r="E2" s="12" t="n">
        <v>8</v>
      </c>
      <c r="F2" s="12" t="n">
        <v>150</v>
      </c>
      <c r="G2" s="12"/>
    </row>
    <row r="3" customFormat="false" ht="15" hidden="false" customHeight="false" outlineLevel="0" collapsed="false">
      <c r="A3" s="16" t="s">
        <v>82</v>
      </c>
      <c r="B3" s="16" t="s">
        <v>296</v>
      </c>
      <c r="C3" s="12" t="n">
        <v>2</v>
      </c>
      <c r="D3" s="12" t="n">
        <v>8</v>
      </c>
      <c r="E3" s="12" t="n">
        <v>12</v>
      </c>
      <c r="F3" s="12" t="n">
        <v>60</v>
      </c>
      <c r="G3" s="12"/>
    </row>
    <row r="4" customFormat="false" ht="15" hidden="false" customHeight="false" outlineLevel="0" collapsed="false">
      <c r="A4" s="16" t="s">
        <v>87</v>
      </c>
      <c r="B4" s="16" t="s">
        <v>293</v>
      </c>
      <c r="C4" s="12" t="n">
        <v>3</v>
      </c>
      <c r="D4" s="12" t="n">
        <v>5</v>
      </c>
      <c r="E4" s="12" t="n">
        <v>8</v>
      </c>
      <c r="F4" s="12" t="n">
        <v>150</v>
      </c>
      <c r="G4" s="12"/>
    </row>
    <row r="5" customFormat="false" ht="15" hidden="false" customHeight="false" outlineLevel="0" collapsed="false">
      <c r="A5" s="16" t="s">
        <v>87</v>
      </c>
      <c r="B5" s="16" t="s">
        <v>296</v>
      </c>
      <c r="C5" s="12" t="n">
        <v>2</v>
      </c>
      <c r="D5" s="12" t="n">
        <v>8</v>
      </c>
      <c r="E5" s="12" t="n">
        <v>12</v>
      </c>
      <c r="F5" s="12" t="n">
        <v>60</v>
      </c>
      <c r="G5" s="12"/>
    </row>
    <row r="6" customFormat="false" ht="15" hidden="false" customHeight="false" outlineLevel="0" collapsed="false">
      <c r="A6" s="16" t="s">
        <v>90</v>
      </c>
      <c r="B6" s="16" t="s">
        <v>293</v>
      </c>
      <c r="C6" s="12" t="n">
        <v>3</v>
      </c>
      <c r="D6" s="12" t="n">
        <v>5</v>
      </c>
      <c r="E6" s="12" t="n">
        <v>8</v>
      </c>
      <c r="F6" s="12" t="n">
        <v>150</v>
      </c>
      <c r="G6" s="12"/>
    </row>
    <row r="7" customFormat="false" ht="15" hidden="false" customHeight="false" outlineLevel="0" collapsed="false">
      <c r="A7" s="16" t="s">
        <v>90</v>
      </c>
      <c r="B7" s="16" t="s">
        <v>296</v>
      </c>
      <c r="C7" s="12" t="n">
        <v>2</v>
      </c>
      <c r="D7" s="12" t="n">
        <v>8</v>
      </c>
      <c r="E7" s="12" t="n">
        <v>12</v>
      </c>
      <c r="F7" s="12" t="n">
        <v>60</v>
      </c>
      <c r="G7" s="12"/>
    </row>
    <row r="8" customFormat="false" ht="15" hidden="false" customHeight="false" outlineLevel="0" collapsed="false">
      <c r="A8" s="16" t="s">
        <v>92</v>
      </c>
      <c r="B8" s="16" t="s">
        <v>293</v>
      </c>
      <c r="C8" s="12" t="n">
        <v>3</v>
      </c>
      <c r="D8" s="12" t="n">
        <v>5</v>
      </c>
      <c r="E8" s="12" t="n">
        <v>8</v>
      </c>
      <c r="F8" s="12" t="n">
        <v>150</v>
      </c>
      <c r="G8" s="12"/>
    </row>
    <row r="9" customFormat="false" ht="15" hidden="false" customHeight="false" outlineLevel="0" collapsed="false">
      <c r="A9" s="16" t="s">
        <v>92</v>
      </c>
      <c r="B9" s="16" t="s">
        <v>296</v>
      </c>
      <c r="C9" s="12" t="n">
        <v>2</v>
      </c>
      <c r="D9" s="12" t="n">
        <v>8</v>
      </c>
      <c r="E9" s="12" t="n">
        <v>12</v>
      </c>
      <c r="F9" s="12" t="n">
        <v>60</v>
      </c>
      <c r="G9" s="12"/>
    </row>
    <row r="10" customFormat="false" ht="15" hidden="false" customHeight="false" outlineLevel="0" collapsed="false">
      <c r="A10" s="16" t="s">
        <v>94</v>
      </c>
      <c r="B10" s="16" t="s">
        <v>293</v>
      </c>
      <c r="C10" s="12" t="n">
        <v>3</v>
      </c>
      <c r="D10" s="12" t="n">
        <v>5</v>
      </c>
      <c r="E10" s="12" t="n">
        <v>8</v>
      </c>
      <c r="F10" s="12" t="n">
        <v>150</v>
      </c>
      <c r="G10" s="12"/>
    </row>
    <row r="11" customFormat="false" ht="15" hidden="false" customHeight="false" outlineLevel="0" collapsed="false">
      <c r="A11" s="16" t="s">
        <v>94</v>
      </c>
      <c r="B11" s="16" t="s">
        <v>296</v>
      </c>
      <c r="C11" s="12" t="n">
        <v>2</v>
      </c>
      <c r="D11" s="12" t="n">
        <v>8</v>
      </c>
      <c r="E11" s="12" t="n">
        <v>12</v>
      </c>
      <c r="F11" s="12" t="n">
        <v>60</v>
      </c>
      <c r="G11" s="12"/>
    </row>
    <row r="12" customFormat="false" ht="15" hidden="false" customHeight="false" outlineLevel="0" collapsed="false">
      <c r="A12" s="16" t="s">
        <v>96</v>
      </c>
      <c r="B12" s="16" t="s">
        <v>293</v>
      </c>
      <c r="C12" s="12" t="n">
        <v>5</v>
      </c>
      <c r="D12" s="12" t="n">
        <v>4</v>
      </c>
      <c r="E12" s="12" t="n">
        <v>6</v>
      </c>
      <c r="F12" s="12" t="n">
        <v>180</v>
      </c>
      <c r="G12" s="12"/>
    </row>
    <row r="13" customFormat="false" ht="15" hidden="false" customHeight="false" outlineLevel="0" collapsed="false">
      <c r="A13" s="16" t="s">
        <v>96</v>
      </c>
      <c r="B13" s="16" t="s">
        <v>296</v>
      </c>
      <c r="C13" s="12" t="n">
        <v>3</v>
      </c>
      <c r="D13" s="12" t="n">
        <v>8</v>
      </c>
      <c r="E13" s="12" t="n">
        <v>10</v>
      </c>
      <c r="F13" s="12" t="n">
        <v>90</v>
      </c>
      <c r="G13" s="12"/>
    </row>
    <row r="14" customFormat="false" ht="15" hidden="false" customHeight="false" outlineLevel="0" collapsed="false">
      <c r="A14" s="16" t="s">
        <v>99</v>
      </c>
      <c r="B14" s="16" t="s">
        <v>293</v>
      </c>
      <c r="C14" s="12" t="n">
        <v>4</v>
      </c>
      <c r="D14" s="12" t="n">
        <v>8</v>
      </c>
      <c r="E14" s="12" t="n">
        <v>12</v>
      </c>
      <c r="F14" s="12" t="n">
        <v>120</v>
      </c>
      <c r="G14" s="12"/>
    </row>
    <row r="15" customFormat="false" ht="15" hidden="false" customHeight="false" outlineLevel="0" collapsed="false">
      <c r="A15" s="16" t="s">
        <v>99</v>
      </c>
      <c r="B15" s="16" t="s">
        <v>296</v>
      </c>
      <c r="C15" s="12" t="n">
        <v>3</v>
      </c>
      <c r="D15" s="12" t="n">
        <v>10</v>
      </c>
      <c r="E15" s="12" t="n">
        <v>15</v>
      </c>
      <c r="F15" s="12" t="n">
        <v>75</v>
      </c>
      <c r="G15" s="12"/>
    </row>
    <row r="16" customFormat="false" ht="15" hidden="false" customHeight="false" outlineLevel="0" collapsed="false">
      <c r="A16" s="16" t="s">
        <v>102</v>
      </c>
      <c r="B16" s="16" t="s">
        <v>293</v>
      </c>
      <c r="C16" s="12" t="n">
        <v>4</v>
      </c>
      <c r="D16" s="12" t="n">
        <v>6</v>
      </c>
      <c r="E16" s="12" t="n">
        <v>8</v>
      </c>
      <c r="F16" s="12" t="n">
        <v>150</v>
      </c>
      <c r="G16" s="12"/>
    </row>
    <row r="17" customFormat="false" ht="15" hidden="false" customHeight="false" outlineLevel="0" collapsed="false">
      <c r="A17" s="16" t="s">
        <v>102</v>
      </c>
      <c r="B17" s="16" t="s">
        <v>296</v>
      </c>
      <c r="C17" s="12" t="n">
        <v>3</v>
      </c>
      <c r="D17" s="12" t="n">
        <v>8</v>
      </c>
      <c r="E17" s="12" t="n">
        <v>12</v>
      </c>
      <c r="F17" s="12" t="n">
        <v>75</v>
      </c>
      <c r="G17" s="12"/>
    </row>
    <row r="18" customFormat="false" ht="15" hidden="false" customHeight="false" outlineLevel="0" collapsed="false">
      <c r="A18" s="16" t="s">
        <v>105</v>
      </c>
      <c r="B18" s="16" t="s">
        <v>293</v>
      </c>
      <c r="C18" s="12" t="n">
        <v>3</v>
      </c>
      <c r="D18" s="12" t="n">
        <v>5</v>
      </c>
      <c r="E18" s="12" t="n">
        <v>8</v>
      </c>
      <c r="F18" s="12" t="n">
        <v>120</v>
      </c>
      <c r="G18" s="12"/>
    </row>
    <row r="19" customFormat="false" ht="15" hidden="false" customHeight="false" outlineLevel="0" collapsed="false">
      <c r="A19" s="16" t="s">
        <v>105</v>
      </c>
      <c r="B19" s="16" t="s">
        <v>296</v>
      </c>
      <c r="C19" s="12" t="n">
        <v>3</v>
      </c>
      <c r="D19" s="12" t="n">
        <v>10</v>
      </c>
      <c r="E19" s="12" t="n">
        <v>15</v>
      </c>
      <c r="F19" s="12" t="n">
        <v>60</v>
      </c>
      <c r="G19" s="12"/>
    </row>
    <row r="21" customFormat="false" ht="15" hidden="false" customHeight="false" outlineLevel="0" collapsed="false">
      <c r="A21" s="14" t="s">
        <v>366</v>
      </c>
    </row>
    <row r="22" customFormat="false" ht="15" hidden="false" customHeight="false" outlineLevel="0" collapsed="false">
      <c r="A22" s="14"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368</v>
      </c>
      <c r="B1" s="11" t="s">
        <v>369</v>
      </c>
      <c r="C1" s="11" t="s">
        <v>370</v>
      </c>
      <c r="D1" s="11" t="s">
        <v>371</v>
      </c>
      <c r="E1" s="11" t="s">
        <v>291</v>
      </c>
    </row>
    <row r="2" customFormat="false" ht="15" hidden="false" customHeight="false" outlineLevel="0" collapsed="false">
      <c r="A2" s="9" t="s">
        <v>372</v>
      </c>
      <c r="B2" s="18" t="n">
        <v>8</v>
      </c>
      <c r="C2" s="18" t="n">
        <v>15</v>
      </c>
      <c r="D2" s="18" t="n">
        <v>25</v>
      </c>
      <c r="E2" s="14" t="s">
        <v>373</v>
      </c>
    </row>
    <row r="3" customFormat="false" ht="15" hidden="false" customHeight="false" outlineLevel="0" collapsed="false">
      <c r="A3" s="9" t="s">
        <v>374</v>
      </c>
      <c r="B3" s="18" t="n">
        <v>8</v>
      </c>
      <c r="C3" s="18" t="n">
        <v>15</v>
      </c>
      <c r="D3" s="18" t="n">
        <v>25</v>
      </c>
      <c r="E3" s="14" t="s">
        <v>375</v>
      </c>
    </row>
    <row r="4" customFormat="false" ht="15" hidden="false" customHeight="false" outlineLevel="0" collapsed="false">
      <c r="A4" s="9" t="s">
        <v>376</v>
      </c>
      <c r="B4" s="18" t="n">
        <v>30</v>
      </c>
      <c r="C4" s="18" t="n">
        <v>60</v>
      </c>
      <c r="D4" s="18" t="n">
        <v>100</v>
      </c>
      <c r="E4" s="14" t="s">
        <v>377</v>
      </c>
    </row>
    <row r="5" customFormat="false" ht="15" hidden="false" customHeight="false" outlineLevel="0" collapsed="false">
      <c r="A5" s="9" t="s">
        <v>378</v>
      </c>
      <c r="B5" s="18" t="n">
        <v>10</v>
      </c>
      <c r="C5" s="18" t="n">
        <v>21</v>
      </c>
      <c r="D5" s="18" t="n">
        <v>32</v>
      </c>
      <c r="E5" s="14" t="s">
        <v>379</v>
      </c>
    </row>
    <row r="6" customFormat="false" ht="15" hidden="false" customHeight="false" outlineLevel="0" collapsed="false">
      <c r="A6" s="9" t="s">
        <v>380</v>
      </c>
      <c r="B6" s="18" t="n">
        <v>3</v>
      </c>
      <c r="C6" s="18" t="n">
        <v>3</v>
      </c>
      <c r="D6" s="18" t="n">
        <v>4</v>
      </c>
      <c r="E6" s="14" t="s">
        <v>381</v>
      </c>
    </row>
    <row r="7" customFormat="false" ht="15" hidden="false" customHeight="false" outlineLevel="0" collapsed="false">
      <c r="A7" s="9" t="s">
        <v>382</v>
      </c>
      <c r="B7" s="19" t="n">
        <v>0.1</v>
      </c>
      <c r="C7" s="19" t="n">
        <v>0.1</v>
      </c>
      <c r="D7" s="19" t="n">
        <v>0.12</v>
      </c>
      <c r="E7" s="14" t="s">
        <v>383</v>
      </c>
    </row>
    <row r="8" customFormat="false" ht="15" hidden="false" customHeight="false" outlineLevel="0" collapsed="false">
      <c r="A8" s="9" t="s">
        <v>384</v>
      </c>
      <c r="B8" s="19" t="n">
        <v>0.3</v>
      </c>
      <c r="C8" s="19" t="n">
        <v>0.3</v>
      </c>
      <c r="D8" s="19" t="n">
        <v>0.32</v>
      </c>
      <c r="E8" s="14" t="s">
        <v>385</v>
      </c>
    </row>
    <row r="9" customFormat="false" ht="15" hidden="false" customHeight="false" outlineLevel="0" collapsed="false">
      <c r="A9" s="9" t="s">
        <v>386</v>
      </c>
      <c r="B9" s="18" t="n">
        <v>15</v>
      </c>
      <c r="C9" s="18" t="n">
        <v>30</v>
      </c>
      <c r="D9" s="18" t="n">
        <v>50</v>
      </c>
      <c r="E9" s="14" t="s">
        <v>387</v>
      </c>
    </row>
    <row r="10" customFormat="false" ht="15" hidden="false" customHeight="false" outlineLevel="0" collapsed="false">
      <c r="A10" s="9" t="s">
        <v>388</v>
      </c>
      <c r="B10" s="19" t="n">
        <v>0.06</v>
      </c>
      <c r="C10" s="19" t="n">
        <v>0.06</v>
      </c>
      <c r="D10" s="19" t="n">
        <v>0.06</v>
      </c>
      <c r="E10" s="14" t="s">
        <v>389</v>
      </c>
    </row>
    <row r="11" customFormat="false" ht="15" hidden="false" customHeight="false" outlineLevel="0" collapsed="false">
      <c r="A11" s="9" t="s">
        <v>390</v>
      </c>
      <c r="B11" s="18" t="n">
        <v>1.5</v>
      </c>
      <c r="C11" s="18" t="n">
        <v>1.5</v>
      </c>
      <c r="D11" s="18" t="n">
        <v>1.5</v>
      </c>
      <c r="E11" s="14" t="s">
        <v>391</v>
      </c>
    </row>
    <row r="12" customFormat="false" ht="15" hidden="false" customHeight="false" outlineLevel="0" collapsed="false">
      <c r="A12" s="9" t="s">
        <v>392</v>
      </c>
      <c r="B12" s="18" t="n">
        <v>2.5</v>
      </c>
      <c r="C12" s="18" t="n">
        <v>2.5</v>
      </c>
      <c r="D12" s="18" t="n">
        <v>2.5</v>
      </c>
      <c r="E12" s="14"/>
    </row>
    <row r="13" customFormat="false" ht="15" hidden="false" customHeight="false" outlineLevel="0" collapsed="false">
      <c r="A13" s="9" t="s">
        <v>393</v>
      </c>
      <c r="B13" s="19" t="n">
        <v>0.1</v>
      </c>
      <c r="C13" s="19" t="n">
        <v>0.1</v>
      </c>
      <c r="D13" s="19" t="n">
        <v>0.1</v>
      </c>
      <c r="E13" s="14" t="s">
        <v>394</v>
      </c>
    </row>
    <row r="14" customFormat="false" ht="15" hidden="false" customHeight="false" outlineLevel="0" collapsed="false">
      <c r="A14" s="9" t="s">
        <v>395</v>
      </c>
      <c r="B14" s="18" t="n">
        <v>2</v>
      </c>
      <c r="C14" s="18" t="n">
        <v>2</v>
      </c>
      <c r="D14" s="18" t="n">
        <v>2</v>
      </c>
      <c r="E14" s="14" t="s">
        <v>396</v>
      </c>
    </row>
    <row r="15" customFormat="false" ht="15" hidden="false" customHeight="false" outlineLevel="0" collapsed="false">
      <c r="A15" s="9" t="s">
        <v>397</v>
      </c>
      <c r="B15" s="19" t="n">
        <v>0.15</v>
      </c>
      <c r="C15" s="19" t="n">
        <v>0.15</v>
      </c>
      <c r="D15" s="19" t="n">
        <v>0.15</v>
      </c>
      <c r="E15" s="14"/>
    </row>
    <row r="16" customFormat="false" ht="15" hidden="false" customHeight="false" outlineLevel="0" collapsed="false">
      <c r="A16" s="9" t="s">
        <v>398</v>
      </c>
      <c r="B16" s="18" t="n">
        <v>3</v>
      </c>
      <c r="C16" s="18" t="n">
        <v>3</v>
      </c>
      <c r="D16" s="18" t="n">
        <v>3</v>
      </c>
      <c r="E16" s="14"/>
    </row>
    <row r="17" customFormat="false" ht="15" hidden="false" customHeight="false" outlineLevel="0" collapsed="false">
      <c r="A17" s="9" t="s">
        <v>399</v>
      </c>
      <c r="B17" s="19" t="n">
        <v>0.25</v>
      </c>
      <c r="C17" s="19" t="n">
        <v>0.25</v>
      </c>
      <c r="D17" s="19" t="n">
        <v>0.25</v>
      </c>
      <c r="E17" s="14"/>
    </row>
    <row r="18" customFormat="false" ht="15" hidden="false" customHeight="false" outlineLevel="0" collapsed="false">
      <c r="A18" s="9" t="s">
        <v>400</v>
      </c>
      <c r="B18" s="18" t="n">
        <v>4</v>
      </c>
      <c r="C18" s="18" t="n">
        <v>4</v>
      </c>
      <c r="D18" s="18" t="n">
        <v>4</v>
      </c>
      <c r="E18" s="14"/>
    </row>
    <row r="19" customFormat="false" ht="15" hidden="false" customHeight="false" outlineLevel="0" collapsed="false">
      <c r="A19" s="9" t="s">
        <v>401</v>
      </c>
      <c r="B19" s="19" t="n">
        <v>0.6</v>
      </c>
      <c r="C19" s="19" t="n">
        <v>0.6</v>
      </c>
      <c r="D19" s="19" t="n">
        <v>0.6</v>
      </c>
      <c r="E19" s="14" t="s">
        <v>402</v>
      </c>
    </row>
    <row r="20" customFormat="false" ht="15" hidden="false" customHeight="false" outlineLevel="0" collapsed="false">
      <c r="A20" s="9" t="s">
        <v>403</v>
      </c>
      <c r="B20" s="19" t="n">
        <v>0.85</v>
      </c>
      <c r="C20" s="19" t="n">
        <v>0.85</v>
      </c>
      <c r="D20" s="19" t="n">
        <v>0.85</v>
      </c>
      <c r="E20" s="14"/>
    </row>
    <row r="21" customFormat="false" ht="15" hidden="false" customHeight="false" outlineLevel="0" collapsed="false">
      <c r="A21" s="9" t="s">
        <v>404</v>
      </c>
      <c r="B21" s="19" t="n">
        <v>0.15</v>
      </c>
      <c r="C21" s="19" t="n">
        <v>0.15</v>
      </c>
      <c r="D21" s="19" t="n">
        <v>0.15</v>
      </c>
      <c r="E21" s="14"/>
    </row>
    <row r="22" customFormat="false" ht="15" hidden="false" customHeight="false" outlineLevel="0" collapsed="false">
      <c r="A22" s="9" t="s">
        <v>405</v>
      </c>
      <c r="B22" s="19" t="n">
        <v>0.6</v>
      </c>
      <c r="C22" s="19" t="n">
        <v>0.6</v>
      </c>
      <c r="D22" s="19" t="n">
        <v>0.6</v>
      </c>
      <c r="E22" s="14" t="s">
        <v>406</v>
      </c>
    </row>
    <row r="23" customFormat="false" ht="15" hidden="false" customHeight="false" outlineLevel="0" collapsed="false">
      <c r="A23" s="9" t="s">
        <v>407</v>
      </c>
      <c r="B23" s="19" t="n">
        <v>0.15</v>
      </c>
      <c r="C23" s="19" t="n">
        <v>0.15</v>
      </c>
      <c r="D23" s="19" t="n">
        <v>0.15</v>
      </c>
      <c r="E23" s="14" t="s">
        <v>408</v>
      </c>
    </row>
    <row r="24" customFormat="false" ht="15" hidden="false" customHeight="false" outlineLevel="0" collapsed="false">
      <c r="A24" s="9" t="s">
        <v>409</v>
      </c>
      <c r="B24" s="19" t="n">
        <v>0.6</v>
      </c>
      <c r="C24" s="19" t="n">
        <v>0.6</v>
      </c>
      <c r="D24" s="19" t="n">
        <v>0.6</v>
      </c>
      <c r="E24" s="14" t="s">
        <v>410</v>
      </c>
    </row>
    <row r="26" customFormat="false" ht="15" hidden="false" customHeight="false" outlineLevel="0" collapsed="false">
      <c r="A26" s="14" t="s">
        <v>411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412</v>
      </c>
      <c r="C1" s="9" t="s">
        <v>413</v>
      </c>
      <c r="D1" s="9" t="s">
        <v>27</v>
      </c>
      <c r="E1" s="9" t="s">
        <v>414</v>
      </c>
      <c r="F1" s="9" t="s">
        <v>415</v>
      </c>
      <c r="G1" s="9" t="s">
        <v>416</v>
      </c>
      <c r="H1" s="9" t="s">
        <v>113</v>
      </c>
      <c r="I1" s="9" t="s">
        <v>417</v>
      </c>
    </row>
    <row r="2" customFormat="false" ht="15" hidden="false" customHeight="false" outlineLevel="0" collapsed="false">
      <c r="A2" s="6" t="s">
        <v>82</v>
      </c>
      <c r="B2" s="6" t="s">
        <v>147</v>
      </c>
      <c r="C2" s="6" t="s">
        <v>117</v>
      </c>
      <c r="D2" s="6" t="s">
        <v>211</v>
      </c>
      <c r="E2" s="6" t="s">
        <v>257</v>
      </c>
      <c r="F2" s="6" t="s">
        <v>293</v>
      </c>
      <c r="G2" s="6" t="s">
        <v>260</v>
      </c>
      <c r="H2" s="6" t="s">
        <v>119</v>
      </c>
      <c r="I2" s="6" t="s">
        <v>292</v>
      </c>
    </row>
    <row r="3" customFormat="false" ht="15" hidden="false" customHeight="false" outlineLevel="0" collapsed="false">
      <c r="A3" s="6" t="s">
        <v>87</v>
      </c>
      <c r="B3" s="6" t="s">
        <v>154</v>
      </c>
      <c r="C3" s="6" t="s">
        <v>125</v>
      </c>
      <c r="D3" s="6" t="s">
        <v>215</v>
      </c>
      <c r="E3" s="6" t="s">
        <v>84</v>
      </c>
      <c r="F3" s="6" t="s">
        <v>296</v>
      </c>
      <c r="G3" s="6" t="s">
        <v>418</v>
      </c>
      <c r="H3" s="6" t="s">
        <v>121</v>
      </c>
      <c r="I3" s="6" t="s">
        <v>303</v>
      </c>
    </row>
    <row r="4" customFormat="false" ht="15" hidden="false" customHeight="false" outlineLevel="0" collapsed="false">
      <c r="A4" s="6" t="s">
        <v>90</v>
      </c>
      <c r="B4" s="6" t="s">
        <v>151</v>
      </c>
      <c r="C4" s="6" t="s">
        <v>126</v>
      </c>
      <c r="D4" s="6" t="s">
        <v>220</v>
      </c>
      <c r="E4" s="6" t="s">
        <v>103</v>
      </c>
      <c r="H4" s="6" t="s">
        <v>123</v>
      </c>
      <c r="I4" s="6" t="s">
        <v>295</v>
      </c>
    </row>
    <row r="5" customFormat="false" ht="15" hidden="false" customHeight="false" outlineLevel="0" collapsed="false">
      <c r="A5" s="6" t="s">
        <v>92</v>
      </c>
      <c r="B5" s="6" t="s">
        <v>156</v>
      </c>
      <c r="C5" s="6" t="s">
        <v>122</v>
      </c>
      <c r="D5" s="6" t="s">
        <v>224</v>
      </c>
      <c r="E5" s="6" t="s">
        <v>97</v>
      </c>
      <c r="H5" s="6" t="s">
        <v>132</v>
      </c>
      <c r="I5" s="6" t="s">
        <v>305</v>
      </c>
    </row>
    <row r="6" customFormat="false" ht="15" hidden="false" customHeight="false" outlineLevel="0" collapsed="false">
      <c r="A6" s="6" t="s">
        <v>94</v>
      </c>
      <c r="B6" s="6" t="s">
        <v>158</v>
      </c>
      <c r="C6" s="6" t="s">
        <v>129</v>
      </c>
      <c r="D6" s="6" t="s">
        <v>228</v>
      </c>
      <c r="E6" s="6" t="s">
        <v>100</v>
      </c>
      <c r="I6" s="6" t="s">
        <v>301</v>
      </c>
    </row>
    <row r="7" customFormat="false" ht="15" hidden="false" customHeight="false" outlineLevel="0" collapsed="false">
      <c r="A7" s="6" t="s">
        <v>96</v>
      </c>
      <c r="B7" s="6" t="s">
        <v>149</v>
      </c>
      <c r="C7" s="6" t="s">
        <v>131</v>
      </c>
      <c r="D7" s="6" t="s">
        <v>233</v>
      </c>
      <c r="E7" s="6" t="s">
        <v>269</v>
      </c>
      <c r="I7" s="6" t="s">
        <v>294</v>
      </c>
    </row>
    <row r="8" customFormat="false" ht="15" hidden="false" customHeight="false" outlineLevel="0" collapsed="false">
      <c r="A8" s="6" t="s">
        <v>99</v>
      </c>
      <c r="B8" s="6" t="s">
        <v>145</v>
      </c>
      <c r="D8" s="6" t="s">
        <v>237</v>
      </c>
      <c r="E8" s="6" t="s">
        <v>272</v>
      </c>
      <c r="I8" s="6" t="s">
        <v>298</v>
      </c>
    </row>
    <row r="9" customFormat="false" ht="15" hidden="false" customHeight="false" outlineLevel="0" collapsed="false">
      <c r="A9" s="6" t="s">
        <v>102</v>
      </c>
      <c r="B9" s="6" t="s">
        <v>35</v>
      </c>
      <c r="D9" s="6" t="s">
        <v>241</v>
      </c>
      <c r="E9" s="6" t="s">
        <v>275</v>
      </c>
      <c r="I9" s="6" t="s">
        <v>297</v>
      </c>
    </row>
    <row r="10" customFormat="false" ht="15" hidden="false" customHeight="false" outlineLevel="0" collapsed="false">
      <c r="A10" s="6" t="s">
        <v>105</v>
      </c>
      <c r="B10" s="6" t="s">
        <v>184</v>
      </c>
      <c r="D10" s="6" t="s">
        <v>245</v>
      </c>
      <c r="E10" s="6" t="s">
        <v>278</v>
      </c>
      <c r="I10" s="6" t="s">
        <v>304</v>
      </c>
    </row>
    <row r="11" customFormat="false" ht="15" hidden="false" customHeight="false" outlineLevel="0" collapsed="false">
      <c r="B11" s="6" t="s">
        <v>187</v>
      </c>
      <c r="E11" s="6" t="s">
        <v>106</v>
      </c>
      <c r="I11" s="6" t="s">
        <v>313</v>
      </c>
    </row>
    <row r="12" customFormat="false" ht="15" hidden="false" customHeight="false" outlineLevel="0" collapsed="false">
      <c r="B12" s="6" t="s">
        <v>45</v>
      </c>
      <c r="I12" s="6" t="s">
        <v>299</v>
      </c>
    </row>
    <row r="13" customFormat="false" ht="15" hidden="false" customHeight="false" outlineLevel="0" collapsed="false">
      <c r="I13" s="6" t="s">
        <v>306</v>
      </c>
    </row>
    <row r="14" customFormat="false" ht="15" hidden="false" customHeight="false" outlineLevel="0" collapsed="false">
      <c r="I14" s="6" t="s">
        <v>419</v>
      </c>
    </row>
    <row r="15" customFormat="false" ht="15" hidden="false" customHeight="false" outlineLevel="0" collapsed="false">
      <c r="I15" s="6" t="s">
        <v>420</v>
      </c>
    </row>
    <row r="16" customFormat="false" ht="15" hidden="false" customHeight="false" outlineLevel="0" collapsed="false">
      <c r="I16" s="6" t="s">
        <v>421</v>
      </c>
    </row>
    <row r="17" customFormat="false" ht="15" hidden="false" customHeight="false" outlineLevel="0" collapsed="false">
      <c r="I17" s="6" t="s">
        <v>422</v>
      </c>
    </row>
    <row r="18" customFormat="false" ht="15" hidden="false" customHeight="false" outlineLevel="0" collapsed="false">
      <c r="I18" s="6" t="s">
        <v>423</v>
      </c>
    </row>
    <row r="19" customFormat="false" ht="15" hidden="false" customHeight="false" outlineLevel="0" collapsed="false">
      <c r="I19" s="6" t="s">
        <v>424</v>
      </c>
    </row>
    <row r="20" customFormat="false" ht="15" hidden="false" customHeight="false" outlineLevel="0" collapsed="false">
      <c r="I20" s="6" t="s">
        <v>309</v>
      </c>
    </row>
    <row r="21" customFormat="false" ht="15" hidden="false" customHeight="false" outlineLevel="0" collapsed="false">
      <c r="I21" s="6" t="s">
        <v>425</v>
      </c>
    </row>
    <row r="22" customFormat="false" ht="15" hidden="false" customHeight="false" outlineLevel="0" collapsed="false">
      <c r="I22" s="6" t="s">
        <v>340</v>
      </c>
    </row>
    <row r="23" customFormat="false" ht="15" hidden="false" customHeight="false" outlineLevel="0" collapsed="false">
      <c r="I23" s="6" t="s">
        <v>426</v>
      </c>
    </row>
    <row r="24" customFormat="false" ht="15" hidden="false" customHeight="false" outlineLevel="0" collapsed="false">
      <c r="I24" s="6" t="s">
        <v>353</v>
      </c>
    </row>
    <row r="25" customFormat="false" ht="15" hidden="false" customHeight="false" outlineLevel="0" collapsed="false">
      <c r="I25" s="6" t="s">
        <v>427</v>
      </c>
    </row>
    <row r="26" customFormat="false" ht="15" hidden="false" customHeight="false" outlineLevel="0" collapsed="false">
      <c r="I26" s="6" t="s">
        <v>332</v>
      </c>
    </row>
    <row r="27" customFormat="false" ht="15" hidden="false" customHeight="false" outlineLevel="0" collapsed="false">
      <c r="I27" s="6" t="s">
        <v>428</v>
      </c>
    </row>
    <row r="28" customFormat="false" ht="15" hidden="false" customHeight="false" outlineLevel="0" collapsed="false">
      <c r="I28" s="6" t="s">
        <v>335</v>
      </c>
    </row>
    <row r="29" customFormat="false" ht="15" hidden="false" customHeight="false" outlineLevel="0" collapsed="false">
      <c r="I29" s="6" t="s">
        <v>429</v>
      </c>
    </row>
    <row r="30" customFormat="false" ht="15" hidden="false" customHeight="false" outlineLevel="0" collapsed="false">
      <c r="I30" s="6" t="s">
        <v>430</v>
      </c>
    </row>
    <row r="31" customFormat="false" ht="15" hidden="false" customHeight="false" outlineLevel="0" collapsed="false">
      <c r="I31" s="6" t="s">
        <v>331</v>
      </c>
    </row>
    <row r="32" customFormat="false" ht="15" hidden="false" customHeight="false" outlineLevel="0" collapsed="false">
      <c r="I32" s="6" t="s">
        <v>323</v>
      </c>
    </row>
    <row r="33" customFormat="false" ht="15" hidden="false" customHeight="false" outlineLevel="0" collapsed="false">
      <c r="I33" s="6" t="s">
        <v>431</v>
      </c>
    </row>
    <row r="34" customFormat="false" ht="15" hidden="false" customHeight="false" outlineLevel="0" collapsed="false">
      <c r="I34" s="6" t="s">
        <v>432</v>
      </c>
    </row>
    <row r="35" customFormat="false" ht="15" hidden="false" customHeight="false" outlineLevel="0" collapsed="false">
      <c r="I35" s="6" t="s">
        <v>318</v>
      </c>
    </row>
    <row r="36" customFormat="false" ht="15" hidden="false" customHeight="false" outlineLevel="0" collapsed="false">
      <c r="I36" s="6" t="s">
        <v>433</v>
      </c>
    </row>
    <row r="37" customFormat="false" ht="15" hidden="false" customHeight="false" outlineLevel="0" collapsed="false">
      <c r="I37" s="6" t="s">
        <v>434</v>
      </c>
    </row>
    <row r="38" customFormat="false" ht="15" hidden="false" customHeight="false" outlineLevel="0" collapsed="false">
      <c r="I38" s="6" t="s">
        <v>435</v>
      </c>
    </row>
    <row r="39" customFormat="false" ht="15" hidden="false" customHeight="false" outlineLevel="0" collapsed="false">
      <c r="I39" s="6" t="s">
        <v>436</v>
      </c>
    </row>
    <row r="40" customFormat="false" ht="15" hidden="false" customHeight="false" outlineLevel="0" collapsed="false">
      <c r="I40" s="6" t="s">
        <v>437</v>
      </c>
    </row>
    <row r="41" customFormat="false" ht="15" hidden="false" customHeight="false" outlineLevel="0" collapsed="false">
      <c r="I41" s="6" t="s">
        <v>321</v>
      </c>
    </row>
    <row r="42" customFormat="false" ht="15" hidden="false" customHeight="false" outlineLevel="0" collapsed="false">
      <c r="I42" s="6" t="s">
        <v>438</v>
      </c>
    </row>
    <row r="43" customFormat="false" ht="15" hidden="false" customHeight="false" outlineLevel="0" collapsed="false">
      <c r="I43" s="6" t="s">
        <v>358</v>
      </c>
    </row>
    <row r="44" customFormat="false" ht="15" hidden="false" customHeight="false" outlineLevel="0" collapsed="false">
      <c r="I44" s="6" t="s">
        <v>439</v>
      </c>
    </row>
    <row r="45" customFormat="false" ht="15" hidden="false" customHeight="false" outlineLevel="0" collapsed="false">
      <c r="I45" s="6" t="s">
        <v>440</v>
      </c>
    </row>
    <row r="46" customFormat="false" ht="15" hidden="false" customHeight="false" outlineLevel="0" collapsed="false">
      <c r="I46" s="6" t="s">
        <v>441</v>
      </c>
    </row>
    <row r="47" customFormat="false" ht="15" hidden="false" customHeight="false" outlineLevel="0" collapsed="false">
      <c r="I47" s="6" t="s">
        <v>442</v>
      </c>
    </row>
    <row r="48" customFormat="false" ht="15" hidden="false" customHeight="false" outlineLevel="0" collapsed="false">
      <c r="I48" s="6" t="s">
        <v>337</v>
      </c>
    </row>
    <row r="49" customFormat="false" ht="15" hidden="false" customHeight="false" outlineLevel="0" collapsed="false">
      <c r="I49" s="6" t="s">
        <v>344</v>
      </c>
    </row>
    <row r="50" customFormat="false" ht="15" hidden="false" customHeight="false" outlineLevel="0" collapsed="false">
      <c r="I50" s="6" t="s">
        <v>330</v>
      </c>
    </row>
    <row r="51" customFormat="false" ht="15" hidden="false" customHeight="false" outlineLevel="0" collapsed="false">
      <c r="I51" s="6" t="s">
        <v>308</v>
      </c>
    </row>
    <row r="52" customFormat="false" ht="15" hidden="false" customHeight="false" outlineLevel="0" collapsed="false">
      <c r="I52" s="6" t="s">
        <v>443</v>
      </c>
    </row>
    <row r="53" customFormat="false" ht="15" hidden="false" customHeight="false" outlineLevel="0" collapsed="false">
      <c r="I53" s="6" t="s">
        <v>444</v>
      </c>
    </row>
    <row r="54" customFormat="false" ht="15" hidden="false" customHeight="false" outlineLevel="0" collapsed="false">
      <c r="I54" s="6" t="s">
        <v>445</v>
      </c>
    </row>
    <row r="55" customFormat="false" ht="15" hidden="false" customHeight="false" outlineLevel="0" collapsed="false">
      <c r="I55" s="6" t="s">
        <v>325</v>
      </c>
    </row>
    <row r="56" customFormat="false" ht="15" hidden="false" customHeight="false" outlineLevel="0" collapsed="false">
      <c r="I56" s="6" t="s">
        <v>446</v>
      </c>
    </row>
    <row r="57" customFormat="false" ht="15" hidden="false" customHeight="false" outlineLevel="0" collapsed="false">
      <c r="I57" s="6" t="s">
        <v>341</v>
      </c>
    </row>
    <row r="58" customFormat="false" ht="15" hidden="false" customHeight="false" outlineLevel="0" collapsed="false">
      <c r="I58" s="6" t="s">
        <v>342</v>
      </c>
    </row>
    <row r="59" customFormat="false" ht="15" hidden="false" customHeight="false" outlineLevel="0" collapsed="false">
      <c r="I59" s="6" t="s">
        <v>447</v>
      </c>
    </row>
    <row r="60" customFormat="false" ht="15" hidden="false" customHeight="false" outlineLevel="0" collapsed="false">
      <c r="I60" s="6" t="s">
        <v>448</v>
      </c>
    </row>
    <row r="61" customFormat="false" ht="15" hidden="false" customHeight="false" outlineLevel="0" collapsed="false">
      <c r="I61" s="6" t="s">
        <v>333</v>
      </c>
    </row>
    <row r="62" customFormat="false" ht="15" hidden="false" customHeight="false" outlineLevel="0" collapsed="false">
      <c r="I62" s="6" t="s">
        <v>449</v>
      </c>
    </row>
    <row r="63" customFormat="false" ht="15" hidden="false" customHeight="false" outlineLevel="0" collapsed="false">
      <c r="I63" s="6" t="s">
        <v>450</v>
      </c>
    </row>
    <row r="64" customFormat="false" ht="15" hidden="false" customHeight="false" outlineLevel="0" collapsed="false">
      <c r="I64" s="6" t="s">
        <v>451</v>
      </c>
    </row>
    <row r="65" customFormat="false" ht="15" hidden="false" customHeight="false" outlineLevel="0" collapsed="false">
      <c r="I65" s="6" t="s">
        <v>452</v>
      </c>
    </row>
    <row r="66" customFormat="false" ht="15" hidden="false" customHeight="false" outlineLevel="0" collapsed="false">
      <c r="I66" s="6" t="s">
        <v>453</v>
      </c>
    </row>
    <row r="67" customFormat="false" ht="15" hidden="false" customHeight="false" outlineLevel="0" collapsed="false">
      <c r="I67" s="6" t="s">
        <v>454</v>
      </c>
    </row>
    <row r="68" customFormat="false" ht="15" hidden="false" customHeight="false" outlineLevel="0" collapsed="false">
      <c r="I68" s="6" t="s">
        <v>322</v>
      </c>
    </row>
    <row r="69" customFormat="false" ht="15" hidden="false" customHeight="false" outlineLevel="0" collapsed="false">
      <c r="I69" s="6" t="s">
        <v>455</v>
      </c>
    </row>
    <row r="70" customFormat="false" ht="15" hidden="false" customHeight="false" outlineLevel="0" collapsed="false">
      <c r="I70" s="6" t="s">
        <v>456</v>
      </c>
    </row>
    <row r="71" customFormat="false" ht="15" hidden="false" customHeight="false" outlineLevel="0" collapsed="false">
      <c r="I71" s="6" t="s">
        <v>356</v>
      </c>
    </row>
    <row r="72" customFormat="false" ht="15" hidden="false" customHeight="false" outlineLevel="0" collapsed="false">
      <c r="I72" s="6" t="s">
        <v>457</v>
      </c>
    </row>
    <row r="73" customFormat="false" ht="15" hidden="false" customHeight="false" outlineLevel="0" collapsed="false">
      <c r="I73" s="6" t="s">
        <v>360</v>
      </c>
    </row>
    <row r="74" customFormat="false" ht="15" hidden="false" customHeight="false" outlineLevel="0" collapsed="false">
      <c r="I74" s="6" t="s">
        <v>336</v>
      </c>
    </row>
    <row r="75" customFormat="false" ht="15" hidden="false" customHeight="false" outlineLevel="0" collapsed="false">
      <c r="I75" s="6" t="s">
        <v>343</v>
      </c>
    </row>
    <row r="76" customFormat="false" ht="15" hidden="false" customHeight="false" outlineLevel="0" collapsed="false">
      <c r="I76" s="6" t="s">
        <v>311</v>
      </c>
    </row>
    <row r="77" customFormat="false" ht="15" hidden="false" customHeight="false" outlineLevel="0" collapsed="false">
      <c r="I77" s="6" t="s">
        <v>310</v>
      </c>
    </row>
    <row r="78" customFormat="false" ht="15" hidden="false" customHeight="false" outlineLevel="0" collapsed="false">
      <c r="I78" s="6" t="s">
        <v>458</v>
      </c>
    </row>
    <row r="79" customFormat="false" ht="15" hidden="false" customHeight="false" outlineLevel="0" collapsed="false">
      <c r="I79" s="6" t="s">
        <v>459</v>
      </c>
    </row>
    <row r="80" customFormat="false" ht="15" hidden="false" customHeight="false" outlineLevel="0" collapsed="false">
      <c r="I80" s="6" t="s">
        <v>349</v>
      </c>
    </row>
    <row r="81" customFormat="false" ht="15" hidden="false" customHeight="false" outlineLevel="0" collapsed="false">
      <c r="I81" s="6" t="s">
        <v>460</v>
      </c>
    </row>
    <row r="82" customFormat="false" ht="15" hidden="false" customHeight="false" outlineLevel="0" collapsed="false">
      <c r="I82" s="6" t="s">
        <v>357</v>
      </c>
    </row>
    <row r="83" customFormat="false" ht="15" hidden="false" customHeight="false" outlineLevel="0" collapsed="false">
      <c r="I83" s="6" t="s">
        <v>351</v>
      </c>
    </row>
    <row r="84" customFormat="false" ht="15" hidden="false" customHeight="false" outlineLevel="0" collapsed="false">
      <c r="I84" s="6" t="s">
        <v>461</v>
      </c>
    </row>
    <row r="85" customFormat="false" ht="15" hidden="false" customHeight="false" outlineLevel="0" collapsed="false">
      <c r="I85" s="6" t="s">
        <v>347</v>
      </c>
    </row>
    <row r="86" customFormat="false" ht="15" hidden="false" customHeight="false" outlineLevel="0" collapsed="false">
      <c r="I86" s="6" t="s">
        <v>462</v>
      </c>
    </row>
    <row r="87" customFormat="false" ht="15" hidden="false" customHeight="false" outlineLevel="0" collapsed="false">
      <c r="I87" s="6" t="s">
        <v>463</v>
      </c>
    </row>
    <row r="88" customFormat="false" ht="15" hidden="false" customHeight="false" outlineLevel="0" collapsed="false">
      <c r="I88" s="6" t="s">
        <v>464</v>
      </c>
    </row>
    <row r="89" customFormat="false" ht="15" hidden="false" customHeight="false" outlineLevel="0" collapsed="false">
      <c r="I89" s="6" t="s">
        <v>339</v>
      </c>
    </row>
    <row r="90" customFormat="false" ht="15" hidden="false" customHeight="false" outlineLevel="0" collapsed="false">
      <c r="I90" s="6" t="s">
        <v>319</v>
      </c>
    </row>
    <row r="91" customFormat="false" ht="15" hidden="false" customHeight="false" outlineLevel="0" collapsed="false">
      <c r="I91" s="6" t="s">
        <v>465</v>
      </c>
    </row>
    <row r="92" customFormat="false" ht="15" hidden="false" customHeight="false" outlineLevel="0" collapsed="false">
      <c r="I92" s="6" t="s">
        <v>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2026-10-22T20:29:47Z</dcterms:created>
  <dc:creator>openpyxl</dc:creator>
  <dc:description/>
  <dc:language>en-US</dc:language>
  <cp:lastModifiedBy/>
  <dcterms:modified xsi:type="dcterms:W3CDTF">2026-10-22T20:29:47Z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